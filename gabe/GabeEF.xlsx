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python\prondamin2026\gabe\"/>
    </mc:Choice>
  </mc:AlternateContent>
  <xr:revisionPtr revIDLastSave="0" documentId="13_ncr:1_{3FE11893-E2B4-46C7-B96F-C29C0CE0A227}" xr6:coauthVersionLast="47" xr6:coauthVersionMax="47" xr10:uidLastSave="{00000000-0000-0000-0000-000000000000}"/>
  <bookViews>
    <workbookView xWindow="1170" yWindow="1170" windowWidth="13935" windowHeight="9150" activeTab="1" xr2:uid="{00000000-000D-0000-FFFF-FFFF00000000}"/>
  </bookViews>
  <sheets>
    <sheet name="Hoja 1" sheetId="1" r:id="rId1"/>
    <sheet name="Hoja 2" sheetId="2" r:id="rId2"/>
    <sheet name="Copia de Hoja 1" sheetId="3" r:id="rId3"/>
    <sheet name="Gráfico1 Distribución del Monto" sheetId="4" r:id="rId4"/>
    <sheet name="Hoja 3" sheetId="5" r:id="rId5"/>
  </sheets>
  <definedNames>
    <definedName name="_xlnm._FilterDatabase" localSheetId="1" hidden="1">'Hoja 2'!$A$1:$H$198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G24" i="4"/>
  <c r="G23" i="4"/>
  <c r="H24" i="4" s="1"/>
  <c r="B19" i="4"/>
  <c r="C19" i="4" s="1"/>
  <c r="C21" i="4" s="1"/>
  <c r="C22" i="4" s="1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H198" i="2"/>
  <c r="G198" i="2"/>
  <c r="H197" i="2"/>
  <c r="G197" i="2"/>
  <c r="H52" i="2"/>
  <c r="G52" i="2"/>
  <c r="H195" i="2"/>
  <c r="G195" i="2"/>
  <c r="H194" i="2"/>
  <c r="G194" i="2"/>
  <c r="H185" i="2"/>
  <c r="G185" i="2"/>
  <c r="H192" i="2"/>
  <c r="G192" i="2"/>
  <c r="H122" i="2"/>
  <c r="G122" i="2"/>
  <c r="H145" i="2"/>
  <c r="G145" i="2"/>
  <c r="H189" i="2"/>
  <c r="G189" i="2"/>
  <c r="H188" i="2"/>
  <c r="G188" i="2"/>
  <c r="H187" i="2"/>
  <c r="G187" i="2"/>
  <c r="H12" i="2"/>
  <c r="G12" i="2"/>
  <c r="H7" i="2"/>
  <c r="G7" i="2"/>
  <c r="H2" i="2"/>
  <c r="G2" i="2"/>
  <c r="H186" i="2"/>
  <c r="G186" i="2"/>
  <c r="H4" i="2"/>
  <c r="G4" i="2"/>
  <c r="H190" i="2"/>
  <c r="G190" i="2"/>
  <c r="H9" i="2"/>
  <c r="G9" i="2"/>
  <c r="H191" i="2"/>
  <c r="G191" i="2"/>
  <c r="H178" i="2"/>
  <c r="G178" i="2"/>
  <c r="H193" i="2"/>
  <c r="G193" i="2"/>
  <c r="H196" i="2"/>
  <c r="G196" i="2"/>
  <c r="H175" i="2"/>
  <c r="G175" i="2"/>
  <c r="H174" i="2"/>
  <c r="G174" i="2"/>
  <c r="H64" i="2"/>
  <c r="G64" i="2"/>
  <c r="H68" i="2"/>
  <c r="G68" i="2"/>
  <c r="H171" i="2"/>
  <c r="G171" i="2"/>
  <c r="H170" i="2"/>
  <c r="G170" i="2"/>
  <c r="H135" i="2"/>
  <c r="G135" i="2"/>
  <c r="H140" i="2"/>
  <c r="G140" i="2"/>
  <c r="H42" i="2"/>
  <c r="G42" i="2"/>
  <c r="H48" i="2"/>
  <c r="G48" i="2"/>
  <c r="H109" i="2"/>
  <c r="G109" i="2"/>
  <c r="H85" i="2"/>
  <c r="G85" i="2"/>
  <c r="H41" i="2"/>
  <c r="G41" i="2"/>
  <c r="H38" i="2"/>
  <c r="G38" i="2"/>
  <c r="H161" i="2"/>
  <c r="G161" i="2"/>
  <c r="H40" i="2"/>
  <c r="G40" i="2"/>
  <c r="H138" i="2"/>
  <c r="G138" i="2"/>
  <c r="H158" i="2"/>
  <c r="G158" i="2"/>
  <c r="H157" i="2"/>
  <c r="G157" i="2"/>
  <c r="H43" i="2"/>
  <c r="G43" i="2"/>
  <c r="H184" i="2"/>
  <c r="G184" i="2"/>
  <c r="H86" i="2"/>
  <c r="G86" i="2"/>
  <c r="H154" i="2"/>
  <c r="G154" i="2"/>
  <c r="H166" i="2"/>
  <c r="G166" i="2"/>
  <c r="H62" i="2"/>
  <c r="G62" i="2"/>
  <c r="H150" i="2"/>
  <c r="G150" i="2"/>
  <c r="H89" i="2"/>
  <c r="G89" i="2"/>
  <c r="H31" i="2"/>
  <c r="G31" i="2"/>
  <c r="H44" i="2"/>
  <c r="G44" i="2"/>
  <c r="H87" i="2"/>
  <c r="G87" i="2"/>
  <c r="H125" i="2"/>
  <c r="G125" i="2"/>
  <c r="H144" i="2"/>
  <c r="G144" i="2"/>
  <c r="H14" i="2"/>
  <c r="G14" i="2"/>
  <c r="H82" i="2"/>
  <c r="G82" i="2"/>
  <c r="H141" i="2"/>
  <c r="G141" i="2"/>
  <c r="H11" i="2"/>
  <c r="G11" i="2"/>
  <c r="H139" i="2"/>
  <c r="G139" i="2"/>
  <c r="H84" i="2"/>
  <c r="G84" i="2"/>
  <c r="H137" i="2"/>
  <c r="G137" i="2"/>
  <c r="H136" i="2"/>
  <c r="G136" i="2"/>
  <c r="H106" i="2"/>
  <c r="G106" i="2"/>
  <c r="H134" i="2"/>
  <c r="G134" i="2"/>
  <c r="H147" i="2"/>
  <c r="G147" i="2"/>
  <c r="H132" i="2"/>
  <c r="G132" i="2"/>
  <c r="H168" i="2"/>
  <c r="G168" i="2"/>
  <c r="H61" i="2"/>
  <c r="G61" i="2"/>
  <c r="H127" i="2"/>
  <c r="G127" i="2"/>
  <c r="H128" i="2"/>
  <c r="G128" i="2"/>
  <c r="H46" i="2"/>
  <c r="G46" i="2"/>
  <c r="H126" i="2"/>
  <c r="G126" i="2"/>
  <c r="H165" i="2"/>
  <c r="G165" i="2"/>
  <c r="H51" i="2"/>
  <c r="G51" i="2"/>
  <c r="H162" i="2"/>
  <c r="G162" i="2"/>
  <c r="H50" i="2"/>
  <c r="G50" i="2"/>
  <c r="H59" i="2"/>
  <c r="G59" i="2"/>
  <c r="H120" i="2"/>
  <c r="G120" i="2"/>
  <c r="H119" i="2"/>
  <c r="G119" i="2"/>
  <c r="H118" i="2"/>
  <c r="G118" i="2"/>
  <c r="H83" i="2"/>
  <c r="G83" i="2"/>
  <c r="H116" i="2"/>
  <c r="G116" i="2"/>
  <c r="H28" i="2"/>
  <c r="G28" i="2"/>
  <c r="H114" i="2"/>
  <c r="G114" i="2"/>
  <c r="H164" i="2"/>
  <c r="G164" i="2"/>
  <c r="H112" i="2"/>
  <c r="G112" i="2"/>
  <c r="H143" i="2"/>
  <c r="G143" i="2"/>
  <c r="H142" i="2"/>
  <c r="G142" i="2"/>
  <c r="H98" i="2"/>
  <c r="G98" i="2"/>
  <c r="H108" i="2"/>
  <c r="G108" i="2"/>
  <c r="H107" i="2"/>
  <c r="G107" i="2"/>
  <c r="H115" i="2"/>
  <c r="G115" i="2"/>
  <c r="H152" i="2"/>
  <c r="G152" i="2"/>
  <c r="H156" i="2"/>
  <c r="G156" i="2"/>
  <c r="H103" i="2"/>
  <c r="G103" i="2"/>
  <c r="H23" i="2"/>
  <c r="G23" i="2"/>
  <c r="H101" i="2"/>
  <c r="G101" i="2"/>
  <c r="H100" i="2"/>
  <c r="G100" i="2"/>
  <c r="H77" i="2"/>
  <c r="G77" i="2"/>
  <c r="H25" i="2"/>
  <c r="G25" i="2"/>
  <c r="H97" i="2"/>
  <c r="G97" i="2"/>
  <c r="H155" i="2"/>
  <c r="G155" i="2"/>
  <c r="H151" i="2"/>
  <c r="G151" i="2"/>
  <c r="H94" i="2"/>
  <c r="G94" i="2"/>
  <c r="H93" i="2"/>
  <c r="G93" i="2"/>
  <c r="H92" i="2"/>
  <c r="G92" i="2"/>
  <c r="H17" i="2"/>
  <c r="G17" i="2"/>
  <c r="H16" i="2"/>
  <c r="G16" i="2"/>
  <c r="H20" i="2"/>
  <c r="G20" i="2"/>
  <c r="H88" i="2"/>
  <c r="G88" i="2"/>
  <c r="H130" i="2"/>
  <c r="G130" i="2"/>
  <c r="H123" i="2"/>
  <c r="G123" i="2"/>
  <c r="H34" i="2"/>
  <c r="G34" i="2"/>
  <c r="H113" i="2"/>
  <c r="G113" i="2"/>
  <c r="H163" i="2"/>
  <c r="G163" i="2"/>
  <c r="H149" i="2"/>
  <c r="G149" i="2"/>
  <c r="H81" i="2"/>
  <c r="G81" i="2"/>
  <c r="H80" i="2"/>
  <c r="G80" i="2"/>
  <c r="H79" i="2"/>
  <c r="G79" i="2"/>
  <c r="H78" i="2"/>
  <c r="G78" i="2"/>
  <c r="H111" i="2"/>
  <c r="G111" i="2"/>
  <c r="H76" i="2"/>
  <c r="G76" i="2"/>
  <c r="H75" i="2"/>
  <c r="G75" i="2"/>
  <c r="H148" i="2"/>
  <c r="G148" i="2"/>
  <c r="H91" i="2"/>
  <c r="G91" i="2"/>
  <c r="H72" i="2"/>
  <c r="G72" i="2"/>
  <c r="H71" i="2"/>
  <c r="G71" i="2"/>
  <c r="H70" i="2"/>
  <c r="G70" i="2"/>
  <c r="H69" i="2"/>
  <c r="G69" i="2"/>
  <c r="H121" i="2"/>
  <c r="G121" i="2"/>
  <c r="H67" i="2"/>
  <c r="G67" i="2"/>
  <c r="H66" i="2"/>
  <c r="G66" i="2"/>
  <c r="H65" i="2"/>
  <c r="G65" i="2"/>
  <c r="H153" i="2"/>
  <c r="G153" i="2"/>
  <c r="H63" i="2"/>
  <c r="G63" i="2"/>
  <c r="H96" i="2"/>
  <c r="G96" i="2"/>
  <c r="H74" i="2"/>
  <c r="G74" i="2"/>
  <c r="H60" i="2"/>
  <c r="G60" i="2"/>
  <c r="H90" i="2"/>
  <c r="G90" i="2"/>
  <c r="H58" i="2"/>
  <c r="G58" i="2"/>
  <c r="H57" i="2"/>
  <c r="G57" i="2"/>
  <c r="H95" i="2"/>
  <c r="G95" i="2"/>
  <c r="H55" i="2"/>
  <c r="G55" i="2"/>
  <c r="H37" i="2"/>
  <c r="G37" i="2"/>
  <c r="H56" i="2"/>
  <c r="G56" i="2"/>
  <c r="H173" i="2"/>
  <c r="G173" i="2"/>
  <c r="H35" i="2"/>
  <c r="G35" i="2"/>
  <c r="H110" i="2"/>
  <c r="G110" i="2"/>
  <c r="H99" i="2"/>
  <c r="G99" i="2"/>
  <c r="H32" i="2"/>
  <c r="G32" i="2"/>
  <c r="H47" i="2"/>
  <c r="G47" i="2"/>
  <c r="H117" i="2"/>
  <c r="G117" i="2"/>
  <c r="H45" i="2"/>
  <c r="G45" i="2"/>
  <c r="H133" i="2"/>
  <c r="G133" i="2"/>
  <c r="H104" i="2"/>
  <c r="G104" i="2"/>
  <c r="H131" i="2"/>
  <c r="G131" i="2"/>
  <c r="H172" i="2"/>
  <c r="G172" i="2"/>
  <c r="H177" i="2"/>
  <c r="G177" i="2"/>
  <c r="H39" i="2"/>
  <c r="G39" i="2"/>
  <c r="H160" i="2"/>
  <c r="G160" i="2"/>
  <c r="H53" i="2"/>
  <c r="G53" i="2"/>
  <c r="H36" i="2"/>
  <c r="G36" i="2"/>
  <c r="H129" i="2"/>
  <c r="G129" i="2"/>
  <c r="H146" i="2"/>
  <c r="G146" i="2"/>
  <c r="H33" i="2"/>
  <c r="G33" i="2"/>
  <c r="H169" i="2"/>
  <c r="G169" i="2"/>
  <c r="H159" i="2"/>
  <c r="G159" i="2"/>
  <c r="H30" i="2"/>
  <c r="G30" i="2"/>
  <c r="H29" i="2"/>
  <c r="G29" i="2"/>
  <c r="H183" i="2"/>
  <c r="G183" i="2"/>
  <c r="H27" i="2"/>
  <c r="G27" i="2"/>
  <c r="H26" i="2"/>
  <c r="G26" i="2"/>
  <c r="H182" i="2"/>
  <c r="G182" i="2"/>
  <c r="H24" i="2"/>
  <c r="G24" i="2"/>
  <c r="H181" i="2"/>
  <c r="G181" i="2"/>
  <c r="H22" i="2"/>
  <c r="G22" i="2"/>
  <c r="H21" i="2"/>
  <c r="G21" i="2"/>
  <c r="H73" i="2"/>
  <c r="G73" i="2"/>
  <c r="H19" i="2"/>
  <c r="G19" i="2"/>
  <c r="H18" i="2"/>
  <c r="G18" i="2"/>
  <c r="H180" i="2"/>
  <c r="G180" i="2"/>
  <c r="H49" i="2"/>
  <c r="G49" i="2"/>
  <c r="H15" i="2"/>
  <c r="G15" i="2"/>
  <c r="H105" i="2"/>
  <c r="G105" i="2"/>
  <c r="H13" i="2"/>
  <c r="G13" i="2"/>
  <c r="H167" i="2"/>
  <c r="G167" i="2"/>
  <c r="H124" i="2"/>
  <c r="G124" i="2"/>
  <c r="H10" i="2"/>
  <c r="G10" i="2"/>
  <c r="H102" i="2"/>
  <c r="G102" i="2"/>
  <c r="H8" i="2"/>
  <c r="G8" i="2"/>
  <c r="H179" i="2"/>
  <c r="G179" i="2"/>
  <c r="H6" i="2"/>
  <c r="G6" i="2"/>
  <c r="H5" i="2"/>
  <c r="G5" i="2"/>
  <c r="H176" i="2"/>
  <c r="G176" i="2"/>
  <c r="H3" i="2"/>
  <c r="G3" i="2"/>
  <c r="H54" i="2"/>
  <c r="G54" i="2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<sst xmlns="http://schemas.openxmlformats.org/spreadsheetml/2006/main" count="1987" uniqueCount="606">
  <si>
    <t>Fecha</t>
  </si>
  <si>
    <t>Descripción</t>
  </si>
  <si>
    <t>Detalle</t>
  </si>
  <si>
    <t>MontoBs</t>
  </si>
  <si>
    <t>en $</t>
  </si>
  <si>
    <t>SaldoBs</t>
  </si>
  <si>
    <t>en $pos</t>
  </si>
  <si>
    <t>en $neg</t>
  </si>
  <si>
    <t>EST D SERV TRAPICHE AL</t>
  </si>
  <si>
    <t>Gabe-gasolina</t>
  </si>
  <si>
    <t>-5.180,00</t>
  </si>
  <si>
    <t>102.917,96</t>
  </si>
  <si>
    <t>CR.I/REC 0134 V019894081</t>
  </si>
  <si>
    <t>Gabe-Gabriel??</t>
  </si>
  <si>
    <t>32.500,00</t>
  </si>
  <si>
    <t>63.617,29</t>
  </si>
  <si>
    <t>DR OB V16605663 102BANCO</t>
  </si>
  <si>
    <t>Gabe-VictorR</t>
  </si>
  <si>
    <t>-29.500,00</t>
  </si>
  <si>
    <t>29.361,75</t>
  </si>
  <si>
    <t>Gabe-Gabriel</t>
  </si>
  <si>
    <t>31.500,00</t>
  </si>
  <si>
    <t>79.004,91</t>
  </si>
  <si>
    <t>DR OB 04127514012 102BAN</t>
  </si>
  <si>
    <t>Gabe?</t>
  </si>
  <si>
    <t>6.000,00</t>
  </si>
  <si>
    <t>14.099,91</t>
  </si>
  <si>
    <t>Gabe-VR-50</t>
  </si>
  <si>
    <t>-29.000,00</t>
  </si>
  <si>
    <t>58.273,39</t>
  </si>
  <si>
    <t>87.273,39</t>
  </si>
  <si>
    <t>DR OB V13037663 102BANCO</t>
  </si>
  <si>
    <t>Gabe-Manu-pasajes</t>
  </si>
  <si>
    <t>-14.000,00</t>
  </si>
  <si>
    <t>53.861,39</t>
  </si>
  <si>
    <t>31.000,00</t>
  </si>
  <si>
    <t>92.936,39</t>
  </si>
  <si>
    <t>Gabe-Mercadito-Manu-30</t>
  </si>
  <si>
    <t>-15.000,00</t>
  </si>
  <si>
    <t>18.863,38</t>
  </si>
  <si>
    <t>CAR.DRV0023555481</t>
  </si>
  <si>
    <t>Gabe-transporte-Tovar</t>
  </si>
  <si>
    <t>-2.430,00</t>
  </si>
  <si>
    <t>43.007,67</t>
  </si>
  <si>
    <t>ABO.DRV0010358188</t>
  </si>
  <si>
    <t>Gabe-Niño</t>
  </si>
  <si>
    <t>1.458,57</t>
  </si>
  <si>
    <t>45.841,67</t>
  </si>
  <si>
    <t>DR OB V14400493 102BANCO</t>
  </si>
  <si>
    <t>Gabe-Manu-ReporteMedico</t>
  </si>
  <si>
    <t>-19.408,80</t>
  </si>
  <si>
    <t>46.948,83</t>
  </si>
  <si>
    <t>66.357,63</t>
  </si>
  <si>
    <t>LUIS ENRIQUE RAMIREZ CUE</t>
  </si>
  <si>
    <t>Gabe-fancoolerRefrigerador</t>
  </si>
  <si>
    <t>-12.945,00</t>
  </si>
  <si>
    <t>46.709,52</t>
  </si>
  <si>
    <t>-28.000,00</t>
  </si>
  <si>
    <t>40.631,52</t>
  </si>
  <si>
    <t>49.600,00</t>
  </si>
  <si>
    <t>78.410,77</t>
  </si>
  <si>
    <t>DR OB 04149798372 102BAN</t>
  </si>
  <si>
    <t>Gabe-Betty</t>
  </si>
  <si>
    <t>1.646,00</t>
  </si>
  <si>
    <t>39.179,27</t>
  </si>
  <si>
    <t>DR OB V26589303 172BANCA</t>
  </si>
  <si>
    <t>Gabe-Internet-25</t>
  </si>
  <si>
    <t>-12.050,00</t>
  </si>
  <si>
    <t>37.569,42</t>
  </si>
  <si>
    <t>69.087,65</t>
  </si>
  <si>
    <t>DR OB 04247788217 102BAN</t>
  </si>
  <si>
    <t>Gabe-Tomas Manrique</t>
  </si>
  <si>
    <t>8.670,00</t>
  </si>
  <si>
    <t>38.087,65</t>
  </si>
  <si>
    <t>-28.300,00</t>
  </si>
  <si>
    <t>1.502,55</t>
  </si>
  <si>
    <t>2.300,00</t>
  </si>
  <si>
    <t>84.238,23</t>
  </si>
  <si>
    <t>58.936,81</t>
  </si>
  <si>
    <t>43.400,00</t>
  </si>
  <si>
    <t>87.536,81</t>
  </si>
  <si>
    <t>GabeBetty</t>
  </si>
  <si>
    <t>3.900,00</t>
  </si>
  <si>
    <t>16.641,82</t>
  </si>
  <si>
    <t>-26.000,00</t>
  </si>
  <si>
    <t>26.312,95</t>
  </si>
  <si>
    <t>DR OB 04140464403 102BAN</t>
  </si>
  <si>
    <t>Gabe-Rafael</t>
  </si>
  <si>
    <t>1.421,73</t>
  </si>
  <si>
    <t>71.547,95</t>
  </si>
  <si>
    <t>64.000,00</t>
  </si>
  <si>
    <t>92.207,57</t>
  </si>
  <si>
    <t>CAR.DRV0009085770</t>
  </si>
  <si>
    <t>GabeTaxi</t>
  </si>
  <si>
    <t>-11.200,00</t>
  </si>
  <si>
    <t>12.957,71</t>
  </si>
  <si>
    <t>GabeVenenoBachaco</t>
  </si>
  <si>
    <t>-10.000,00</t>
  </si>
  <si>
    <t>24.187,71</t>
  </si>
  <si>
    <t>DR OB 04147346007 102BAN</t>
  </si>
  <si>
    <t>GabeReposicionpasajeValencia</t>
  </si>
  <si>
    <t>8.198,92</t>
  </si>
  <si>
    <t>34.187,71</t>
  </si>
  <si>
    <t>CAR.DRV0008801268</t>
  </si>
  <si>
    <t>GabeRogerpasajeValencia-provincial</t>
  </si>
  <si>
    <t>-17.000,00</t>
  </si>
  <si>
    <t>26.039,79</t>
  </si>
  <si>
    <t>ASOC COOP MIXTA TACHIR</t>
  </si>
  <si>
    <t>GabepasajeValencia</t>
  </si>
  <si>
    <t>-11.712,75</t>
  </si>
  <si>
    <t>43.039,79</t>
  </si>
  <si>
    <t>55.722,54</t>
  </si>
  <si>
    <t>Gabe-Gasbombona</t>
  </si>
  <si>
    <t>-9.500,00</t>
  </si>
  <si>
    <t>18.241,27</t>
  </si>
  <si>
    <t>Gabe-Taxi</t>
  </si>
  <si>
    <t>-2.500,00</t>
  </si>
  <si>
    <t>27.748,77</t>
  </si>
  <si>
    <t>26.000,00</t>
  </si>
  <si>
    <t>35.263,77</t>
  </si>
  <si>
    <t>FARMACIA A-B-C C.A.,</t>
  </si>
  <si>
    <t>-16.897,79</t>
  </si>
  <si>
    <t>9.263,77</t>
  </si>
  <si>
    <t>Gabe-VenenoBachaco</t>
  </si>
  <si>
    <t>-9.000,00</t>
  </si>
  <si>
    <t>9.688,56</t>
  </si>
  <si>
    <t>041238419260 DIGITEL PRO</t>
  </si>
  <si>
    <t>Gabe-Recarga-Roger</t>
  </si>
  <si>
    <t>-600,00</t>
  </si>
  <si>
    <t>18.688,56</t>
  </si>
  <si>
    <t>-12.000,00</t>
  </si>
  <si>
    <t>19.324,56</t>
  </si>
  <si>
    <t>041240742950 DIGITEL PRO</t>
  </si>
  <si>
    <t>-300,00</t>
  </si>
  <si>
    <t>31.324,56</t>
  </si>
  <si>
    <t>31.750,00</t>
  </si>
  <si>
    <t>51.514,47</t>
  </si>
  <si>
    <t>Gabe-Manu-Urea</t>
  </si>
  <si>
    <t>-21.000,00</t>
  </si>
  <si>
    <t>19.827,47</t>
  </si>
  <si>
    <t>3.400,00</t>
  </si>
  <si>
    <t>13.327,47</t>
  </si>
  <si>
    <t>Gabe-Aceite2tiempos-bolsas</t>
  </si>
  <si>
    <t>9.957,47</t>
  </si>
  <si>
    <t>Gabe-Manu-Mercado</t>
  </si>
  <si>
    <t>-13.000,00</t>
  </si>
  <si>
    <t>3.496,47</t>
  </si>
  <si>
    <t>Gabe-Manu-TransporteTovar</t>
  </si>
  <si>
    <t>-16.000,00</t>
  </si>
  <si>
    <t>50.589,60</t>
  </si>
  <si>
    <t>MEDINA ZAMBRANO GUISEP</t>
  </si>
  <si>
    <t>Gabe-Almuerzo</t>
  </si>
  <si>
    <t>-5.000,00</t>
  </si>
  <si>
    <t>66.589,60</t>
  </si>
  <si>
    <t>AGROPECUARIA DISALIPRO</t>
  </si>
  <si>
    <t>-3.643,83</t>
  </si>
  <si>
    <t>71.589,60</t>
  </si>
  <si>
    <t>BUSO BONATO PIETRO</t>
  </si>
  <si>
    <t>Gabe-Gasolina</t>
  </si>
  <si>
    <t>-3.873,00</t>
  </si>
  <si>
    <t>75.233,43</t>
  </si>
  <si>
    <t>MATERIALES LOS ANDES MER</t>
  </si>
  <si>
    <t>Gabe-aspersores</t>
  </si>
  <si>
    <t>-4.270,20</t>
  </si>
  <si>
    <t>79.106,43</t>
  </si>
  <si>
    <t>83.376,63</t>
  </si>
  <si>
    <t>Gabe-Manu-30</t>
  </si>
  <si>
    <t>-15.500,00</t>
  </si>
  <si>
    <t>24.423,13</t>
  </si>
  <si>
    <t>Gabe-Gabriel-50</t>
  </si>
  <si>
    <t>39.923,13</t>
  </si>
  <si>
    <t>4.800,00</t>
  </si>
  <si>
    <t>15.223,01</t>
  </si>
  <si>
    <t>Gabe-Manu</t>
  </si>
  <si>
    <t>29.737,44</t>
  </si>
  <si>
    <t>Gabe-pastora Betty</t>
  </si>
  <si>
    <t>8.200,00</t>
  </si>
  <si>
    <t>44.737,44</t>
  </si>
  <si>
    <t>-11.000,00</t>
  </si>
  <si>
    <t>36.570,44</t>
  </si>
  <si>
    <t>Gabe-Manu50</t>
  </si>
  <si>
    <t>-25.000,00</t>
  </si>
  <si>
    <t>69.308,02</t>
  </si>
  <si>
    <t>61.000,00</t>
  </si>
  <si>
    <t>94.308,02</t>
  </si>
  <si>
    <t>Gabe-Ronald40</t>
  </si>
  <si>
    <t>-20.000,00</t>
  </si>
  <si>
    <t>19.934,30</t>
  </si>
  <si>
    <t>1.300,00</t>
  </si>
  <si>
    <t>51.114,28</t>
  </si>
  <si>
    <t>30.500,00</t>
  </si>
  <si>
    <t>58.698,03</t>
  </si>
  <si>
    <t>DR OB 04247379454 172BAN</t>
  </si>
  <si>
    <t>Gabe-Reposición-Mario-Transp</t>
  </si>
  <si>
    <t>5.500,00</t>
  </si>
  <si>
    <t>29.585,85</t>
  </si>
  <si>
    <t>DR OB V15040557 172BANCA</t>
  </si>
  <si>
    <t>Gabe-Mario-Transp-Tovar</t>
  </si>
  <si>
    <t>-8.500,00</t>
  </si>
  <si>
    <t>24.111,35</t>
  </si>
  <si>
    <t>Gabe-Herbicidas</t>
  </si>
  <si>
    <t>-21.532,76</t>
  </si>
  <si>
    <t>37.517,35</t>
  </si>
  <si>
    <t>Ingreso Gabe - pastor Niño</t>
  </si>
  <si>
    <t>1.265,34</t>
  </si>
  <si>
    <t>59.050,11</t>
  </si>
  <si>
    <t>CR.I/REC 0105 V016016241</t>
  </si>
  <si>
    <t>Gabe-Moriah</t>
  </si>
  <si>
    <t>1.800,00</t>
  </si>
  <si>
    <t>57.784,77</t>
  </si>
  <si>
    <t>3.000,00</t>
  </si>
  <si>
    <t>72.697,07</t>
  </si>
  <si>
    <t>72.754,67</t>
  </si>
  <si>
    <t>Gabe-Ronald semana</t>
  </si>
  <si>
    <t>-18.400,00</t>
  </si>
  <si>
    <t>91.680,49</t>
  </si>
  <si>
    <t>59.000,00</t>
  </si>
  <si>
    <t>110.080,49</t>
  </si>
  <si>
    <t>TRAV0019421518000055633</t>
  </si>
  <si>
    <t>Sierra 50 Gabe 100 Joel</t>
  </si>
  <si>
    <t>72.000,00</t>
  </si>
  <si>
    <t>85.383,09</t>
  </si>
  <si>
    <t>26.234,09</t>
  </si>
  <si>
    <t>TRAV0019421518000055556</t>
  </si>
  <si>
    <t>Sierra-Gabe</t>
  </si>
  <si>
    <t>23.000,00</t>
  </si>
  <si>
    <t>37.234,09</t>
  </si>
  <si>
    <t>Gabe-Betty Anselmi</t>
  </si>
  <si>
    <t>4.500,00</t>
  </si>
  <si>
    <t>14.234,09</t>
  </si>
  <si>
    <t>DR OB 04147080109 102BAN</t>
  </si>
  <si>
    <t>Gabe-???</t>
  </si>
  <si>
    <t>1.207,00</t>
  </si>
  <si>
    <t>18.252,55</t>
  </si>
  <si>
    <t>Gabe - Tomas Manrique</t>
  </si>
  <si>
    <t>33.501,48</t>
  </si>
  <si>
    <t>-18.913,20</t>
  </si>
  <si>
    <t>32.351,22</t>
  </si>
  <si>
    <t>Gabe-taxi-alambre de pua</t>
  </si>
  <si>
    <t>-3.500,00</t>
  </si>
  <si>
    <t>51.274,92</t>
  </si>
  <si>
    <t>54.810,92</t>
  </si>
  <si>
    <t>MATERIALES LOS ANDES M</t>
  </si>
  <si>
    <t>Gabe-Alambre de Pua</t>
  </si>
  <si>
    <t>-56.981,76</t>
  </si>
  <si>
    <t>75.128,86</t>
  </si>
  <si>
    <t>Gabe-Mercadito</t>
  </si>
  <si>
    <t>132.140,62</t>
  </si>
  <si>
    <t>CAR.DRV0018208289</t>
  </si>
  <si>
    <t>Gabe-Quinterio Mendez</t>
  </si>
  <si>
    <t>-4.360,07</t>
  </si>
  <si>
    <t>142.153,70</t>
  </si>
  <si>
    <t>Gabriel - Gabe</t>
  </si>
  <si>
    <t>103.000,00</t>
  </si>
  <si>
    <t>146.513,77</t>
  </si>
  <si>
    <t>DR OB V08801268 105MERCA</t>
  </si>
  <si>
    <t>Gabe - Roger -</t>
  </si>
  <si>
    <t>-45.000,00</t>
  </si>
  <si>
    <t>43.648,77</t>
  </si>
  <si>
    <t>CAR.DRV0018964580</t>
  </si>
  <si>
    <t>Gabe - espejo</t>
  </si>
  <si>
    <t>-3.932,20</t>
  </si>
  <si>
    <t>88.660,57</t>
  </si>
  <si>
    <t>Gabe - Manu</t>
  </si>
  <si>
    <t>92.640,77</t>
  </si>
  <si>
    <t>77.250,00</t>
  </si>
  <si>
    <t>108.640,77</t>
  </si>
  <si>
    <t>2.380,00</t>
  </si>
  <si>
    <t>19.454,38</t>
  </si>
  <si>
    <t>35.086,17</t>
  </si>
  <si>
    <t>-17.200,00</t>
  </si>
  <si>
    <t>25.066,68</t>
  </si>
  <si>
    <t>CAR.DRV0024853070</t>
  </si>
  <si>
    <t>Gabe-Sr Juan Café y Cambures</t>
  </si>
  <si>
    <t>-64.500,00</t>
  </si>
  <si>
    <t>42.460,18</t>
  </si>
  <si>
    <t>TRAV0019421518000055152</t>
  </si>
  <si>
    <t>Gabe-Sierra</t>
  </si>
  <si>
    <t>86.000,00</t>
  </si>
  <si>
    <t>106.960,18</t>
  </si>
  <si>
    <t>Gabe Manu Transporte + Plomeria</t>
  </si>
  <si>
    <t>-15.550,00</t>
  </si>
  <si>
    <t>24.918,53</t>
  </si>
  <si>
    <t>-9.631,75</t>
  </si>
  <si>
    <t>40.497,43</t>
  </si>
  <si>
    <t>DR OB 04124256198 102BAN</t>
  </si>
  <si>
    <t>Gabe-Ingreso-IDLH El Shaddai</t>
  </si>
  <si>
    <t>1.531,00</t>
  </si>
  <si>
    <t>50.129,18</t>
  </si>
  <si>
    <t>TRAV0019421518000055070</t>
  </si>
  <si>
    <t>43.000,00</t>
  </si>
  <si>
    <t>48.598,18</t>
  </si>
  <si>
    <t>Gabe Manu Transporte</t>
  </si>
  <si>
    <t>5.634,18</t>
  </si>
  <si>
    <t>Ingreso-Gabe-Pastor Rafael</t>
  </si>
  <si>
    <t>1.147,89</t>
  </si>
  <si>
    <t>17.634,18</t>
  </si>
  <si>
    <t>-89.972,00</t>
  </si>
  <si>
    <t>28.876,92</t>
  </si>
  <si>
    <t>-18.000,00</t>
  </si>
  <si>
    <t>118.902,92</t>
  </si>
  <si>
    <t>-11.500,00</t>
  </si>
  <si>
    <t>136.937,42</t>
  </si>
  <si>
    <t>TRAV0019421518000054944</t>
  </si>
  <si>
    <t>148.437,42</t>
  </si>
  <si>
    <t>TRAV0019421518000054927</t>
  </si>
  <si>
    <t>105.437,42</t>
  </si>
  <si>
    <t>Gabe-Manu-Gastos Varios</t>
  </si>
  <si>
    <t>-18.605,00</t>
  </si>
  <si>
    <t>5.037,01</t>
  </si>
  <si>
    <t>Gabe-Roger</t>
  </si>
  <si>
    <t>-13.214,40</t>
  </si>
  <si>
    <t>52.805,56</t>
  </si>
  <si>
    <t>-8.800,00</t>
  </si>
  <si>
    <t>66.046,36</t>
  </si>
  <si>
    <t>DR OB 04142698301 104VZL</t>
  </si>
  <si>
    <t>ingreso-gabe-CarmenJulia</t>
  </si>
  <si>
    <t>2.000,00</t>
  </si>
  <si>
    <t>101.472,93</t>
  </si>
  <si>
    <t>Gabe-Tovar-Manu</t>
  </si>
  <si>
    <t>-18.512,50</t>
  </si>
  <si>
    <t>99.528,47</t>
  </si>
  <si>
    <t>TRAV0019421518000054839</t>
  </si>
  <si>
    <t>Horeb (100) y Gabe(100)</t>
  </si>
  <si>
    <t>84.000,00</t>
  </si>
  <si>
    <t>118.040,97</t>
  </si>
  <si>
    <t>CAR.DRV0017769082</t>
  </si>
  <si>
    <t>Gabe-100matas de café/Transporte</t>
  </si>
  <si>
    <t>-103.840,00</t>
  </si>
  <si>
    <t>50.527,56</t>
  </si>
  <si>
    <t>TRAV0019421518000054758</t>
  </si>
  <si>
    <t>Gabe(100) Joel(100)</t>
  </si>
  <si>
    <t>154.367,56</t>
  </si>
  <si>
    <t>Gabe-Juan-Cambur y Café</t>
  </si>
  <si>
    <t>-108.607,50</t>
  </si>
  <si>
    <t>73.109,76</t>
  </si>
  <si>
    <t>Gabe-Ingreso-Gabriel</t>
  </si>
  <si>
    <t>153.000,00</t>
  </si>
  <si>
    <t>185.986,63</t>
  </si>
  <si>
    <t>DR OB 04146714189 105MER</t>
  </si>
  <si>
    <t>Ingreso-Gabe-Monte Moriah</t>
  </si>
  <si>
    <t>1.500,00</t>
  </si>
  <si>
    <t>34.842,18</t>
  </si>
  <si>
    <t>1.084,47</t>
  </si>
  <si>
    <t>33.342,18</t>
  </si>
  <si>
    <t>-3.958,00</t>
  </si>
  <si>
    <t>46.004,34</t>
  </si>
  <si>
    <t>Gabe-Ferrreteria</t>
  </si>
  <si>
    <t>-5.109,70</t>
  </si>
  <si>
    <t>49.962,34</t>
  </si>
  <si>
    <t>CAR.DRV0008043670</t>
  </si>
  <si>
    <t>-1.777,00</t>
  </si>
  <si>
    <t>55.077,37</t>
  </si>
  <si>
    <t>-30.004,20</t>
  </si>
  <si>
    <t>56.854,37</t>
  </si>
  <si>
    <t>041236413230 DIGITEL PRO</t>
  </si>
  <si>
    <t>Gabe-TPI-digitel</t>
  </si>
  <si>
    <t>-1.280,00</t>
  </si>
  <si>
    <t>88.169,31</t>
  </si>
  <si>
    <t>92.000,00</t>
  </si>
  <si>
    <t>127.419,92</t>
  </si>
  <si>
    <t>Gabe-Emergencia-Grua</t>
  </si>
  <si>
    <t>-60.000,00</t>
  </si>
  <si>
    <t>40.351,81</t>
  </si>
  <si>
    <t>TRAV0019421518000054583</t>
  </si>
  <si>
    <t>80.000,00</t>
  </si>
  <si>
    <t>100.351,81</t>
  </si>
  <si>
    <t>Gabe-Otros(mercado, gasolina, ..)</t>
  </si>
  <si>
    <t>-20.700,00</t>
  </si>
  <si>
    <t>20.413,91</t>
  </si>
  <si>
    <t>-20.500,00</t>
  </si>
  <si>
    <t>46.288,64</t>
  </si>
  <si>
    <t>GabeVarios</t>
  </si>
  <si>
    <t>-41.000,00</t>
  </si>
  <si>
    <t>83.673,51</t>
  </si>
  <si>
    <t>90.000,00</t>
  </si>
  <si>
    <t>124.673,51</t>
  </si>
  <si>
    <t>Gabe-Roger-Transporte</t>
  </si>
  <si>
    <t>-18.500,00</t>
  </si>
  <si>
    <t>11.287,91</t>
  </si>
  <si>
    <t>TRAV0019421518000054417</t>
  </si>
  <si>
    <t>20.000,00</t>
  </si>
  <si>
    <t>29.787,91</t>
  </si>
  <si>
    <t>GABE-ManuTransporte</t>
  </si>
  <si>
    <t>-10.500,00</t>
  </si>
  <si>
    <t>12.214,57</t>
  </si>
  <si>
    <t>TRAV0019421518000054414</t>
  </si>
  <si>
    <t>22.714,57</t>
  </si>
  <si>
    <t>Gabe-Ingreso-JosueLobo</t>
  </si>
  <si>
    <t>1.026,00</t>
  </si>
  <si>
    <t>2.714,57</t>
  </si>
  <si>
    <t>GABE-JuanCamburesyCafe</t>
  </si>
  <si>
    <t>-39.648,00</t>
  </si>
  <si>
    <t>37.746,55</t>
  </si>
  <si>
    <t>TRAV0019421518000054341</t>
  </si>
  <si>
    <t>Gabe - Sierra</t>
  </si>
  <si>
    <t>45.000,00</t>
  </si>
  <si>
    <t>77.394,55</t>
  </si>
  <si>
    <t>CAR.DRV0009470013</t>
  </si>
  <si>
    <t>Emilio-emergencia-prestamoGabe-Pmis</t>
  </si>
  <si>
    <t>-7.700,00</t>
  </si>
  <si>
    <t>19.117,29</t>
  </si>
  <si>
    <t>TRAV0019421518000054256</t>
  </si>
  <si>
    <t>25.000,00</t>
  </si>
  <si>
    <t>26.817,29</t>
  </si>
  <si>
    <t>-8.259,25</t>
  </si>
  <si>
    <t>5.879,62</t>
  </si>
  <si>
    <t>Gabe - 46 quemadores de cocina</t>
  </si>
  <si>
    <t>-17.500,00</t>
  </si>
  <si>
    <t>49.805,45</t>
  </si>
  <si>
    <t>TRAV0019421518000054097</t>
  </si>
  <si>
    <t>Ingreso : 50 Gabe / 50 Joel</t>
  </si>
  <si>
    <t>50.000,00</t>
  </si>
  <si>
    <t>67.305,45</t>
  </si>
  <si>
    <t>Gabe-MercadoManu</t>
  </si>
  <si>
    <t>32.281,20</t>
  </si>
  <si>
    <t>NATASHA VALERIA BRICEN</t>
  </si>
  <si>
    <t>Gabe-Lavamanos con pedestal</t>
  </si>
  <si>
    <t>-31.991,00</t>
  </si>
  <si>
    <t>50.281,20</t>
  </si>
  <si>
    <t>HASSAN SAEID JAVIER</t>
  </si>
  <si>
    <t>Gabe-Cesta Agricola</t>
  </si>
  <si>
    <t>-5.773,00</t>
  </si>
  <si>
    <t>82.762,20</t>
  </si>
  <si>
    <t>CRISTY MERIDA</t>
  </si>
  <si>
    <t>Gabe-4Cobijas</t>
  </si>
  <si>
    <t>-10.237,23</t>
  </si>
  <si>
    <t>88.535,20</t>
  </si>
  <si>
    <t>RECICLAY C.A</t>
  </si>
  <si>
    <t>Gabe-MantenimientoImpresora</t>
  </si>
  <si>
    <t>-7.814,18</t>
  </si>
  <si>
    <t>98.772,43</t>
  </si>
  <si>
    <t>TRAV0019421518000054014</t>
  </si>
  <si>
    <t>Gabe-Sierra-200</t>
  </si>
  <si>
    <t>106.586,61</t>
  </si>
  <si>
    <t>Gabe-Gasolina Mario</t>
  </si>
  <si>
    <t>-3.100,00</t>
  </si>
  <si>
    <t>16.595,91</t>
  </si>
  <si>
    <t>Gabe-Transporte Tovar Manu</t>
  </si>
  <si>
    <t>19.740,91</t>
  </si>
  <si>
    <t>DR OB V16744064 105MERCA</t>
  </si>
  <si>
    <t>Gabe-Router Tp-Link AX12</t>
  </si>
  <si>
    <t>-18.383,57</t>
  </si>
  <si>
    <t>68.897,19</t>
  </si>
  <si>
    <t>Gabe-JyCC</t>
  </si>
  <si>
    <t>87.334,82</t>
  </si>
  <si>
    <t>Gabe-VR-paraRonald</t>
  </si>
  <si>
    <t>-3.600,00</t>
  </si>
  <si>
    <t>105.345,62</t>
  </si>
  <si>
    <t>CAR.DRV0008048059</t>
  </si>
  <si>
    <t>Gabe-casco</t>
  </si>
  <si>
    <t>-6.000,00</t>
  </si>
  <si>
    <t>108.963,62</t>
  </si>
  <si>
    <t>TRAV0019421518000053875</t>
  </si>
  <si>
    <t>GABE-Sierra-Ingreso</t>
  </si>
  <si>
    <t>74.963,62</t>
  </si>
  <si>
    <t>GABE-Ingreso-Elioenay</t>
  </si>
  <si>
    <t>19.327,42</t>
  </si>
  <si>
    <t>Gabe-Repuestos</t>
  </si>
  <si>
    <t>-3.000,00</t>
  </si>
  <si>
    <t>31.266,86</t>
  </si>
  <si>
    <t>GABE-Bono-Roger</t>
  </si>
  <si>
    <t>-68.000,00</t>
  </si>
  <si>
    <t>34.470,86</t>
  </si>
  <si>
    <t>TRAV0019421518000053706</t>
  </si>
  <si>
    <t>GABE-200</t>
  </si>
  <si>
    <t>102.470,86</t>
  </si>
  <si>
    <t>GABE-Bono-Manu</t>
  </si>
  <si>
    <t>-50.887,50</t>
  </si>
  <si>
    <t>30.623,52</t>
  </si>
  <si>
    <t>GABE-Bono-VictoR</t>
  </si>
  <si>
    <t>-33.925,00</t>
  </si>
  <si>
    <t>81.612,80</t>
  </si>
  <si>
    <t>GABE-JuanCamburesyCafe-100</t>
  </si>
  <si>
    <t>118.986,59</t>
  </si>
  <si>
    <t>-16.750,00</t>
  </si>
  <si>
    <t>152.961,84</t>
  </si>
  <si>
    <t>DR OB V13966785 105MERCA</t>
  </si>
  <si>
    <t>GABE-estacionamiento</t>
  </si>
  <si>
    <t>-400,00</t>
  </si>
  <si>
    <t>169.713,84</t>
  </si>
  <si>
    <t>ELECTRO HOGAR</t>
  </si>
  <si>
    <t>GABE-cafetera</t>
  </si>
  <si>
    <t>-3.424,80</t>
  </si>
  <si>
    <t>170.113,84</t>
  </si>
  <si>
    <t>MOFFYNS C.A</t>
  </si>
  <si>
    <t>GABE-reunionPastoral</t>
  </si>
  <si>
    <t>-23.244,00</t>
  </si>
  <si>
    <t>173.538,64</t>
  </si>
  <si>
    <t>DR OB J31150187 105MERCA</t>
  </si>
  <si>
    <t>GABE-refrigerador/cocina</t>
  </si>
  <si>
    <t>-163.234,30</t>
  </si>
  <si>
    <t>196.782,64</t>
  </si>
  <si>
    <t>TRAV0019421518000053623</t>
  </si>
  <si>
    <t>GABE-400-Sierra</t>
  </si>
  <si>
    <t>144.000,00</t>
  </si>
  <si>
    <t>360.016,94</t>
  </si>
  <si>
    <t>ABO.DRV0025153977</t>
  </si>
  <si>
    <t>GABE-500-Gabriel</t>
  </si>
  <si>
    <t>210.000,00</t>
  </si>
  <si>
    <t>216.016,94</t>
  </si>
  <si>
    <t>GEMA M TERAN DE SANCHE</t>
  </si>
  <si>
    <t>GABE-helados</t>
  </si>
  <si>
    <t>-1.198,69</t>
  </si>
  <si>
    <t>6.016,94</t>
  </si>
  <si>
    <t>DR OB V16657149 102BANCO</t>
  </si>
  <si>
    <t>GABE-GasolinaCamioneta</t>
  </si>
  <si>
    <t>-9.372,00</t>
  </si>
  <si>
    <t>7.243,75</t>
  </si>
  <si>
    <t>GABE-3$-??</t>
  </si>
  <si>
    <t>847,53</t>
  </si>
  <si>
    <t>56.906,80</t>
  </si>
  <si>
    <t>GABE-3$-JosueLobo</t>
  </si>
  <si>
    <t>900,00</t>
  </si>
  <si>
    <t>21.059,27</t>
  </si>
  <si>
    <t>taxi-GABE</t>
  </si>
  <si>
    <t>10.893,76</t>
  </si>
  <si>
    <t>pago-Roger-Manu-GABE</t>
  </si>
  <si>
    <t>-32.000,00</t>
  </si>
  <si>
    <t>19.989,76</t>
  </si>
  <si>
    <t>TRAV0019421518000053392</t>
  </si>
  <si>
    <t>Sierra-GABE</t>
  </si>
  <si>
    <t>24.500,00</t>
  </si>
  <si>
    <t>51.989,76</t>
  </si>
  <si>
    <t>pago-Roger-GasolMercado-GABE</t>
  </si>
  <si>
    <t>43.633,76</t>
  </si>
  <si>
    <t>ANDREINA SANCHEZ UZCAT</t>
  </si>
  <si>
    <t>cuerda? - GABE</t>
  </si>
  <si>
    <t>-2.558,07</t>
  </si>
  <si>
    <t>75.633,76</t>
  </si>
  <si>
    <t>GRUPO TOTAL 99 AG 61 MER</t>
  </si>
  <si>
    <t>mesas y alfombra -GABE</t>
  </si>
  <si>
    <t>-56.033,04</t>
  </si>
  <si>
    <t>78.191,83</t>
  </si>
  <si>
    <t>DR OB V22986827 102BANCO</t>
  </si>
  <si>
    <t>aceite y filtro -GABE</t>
  </si>
  <si>
    <t>-6.566,16</t>
  </si>
  <si>
    <t>134.244,57</t>
  </si>
  <si>
    <t>DR OB V34477474 134BANES</t>
  </si>
  <si>
    <t>mecanico-GABE</t>
  </si>
  <si>
    <t>-6.437,48</t>
  </si>
  <si>
    <t>140.830,04</t>
  </si>
  <si>
    <t>aceite -GABE</t>
  </si>
  <si>
    <t>-5.471,72</t>
  </si>
  <si>
    <t>147.283,94</t>
  </si>
  <si>
    <t>botas, cafetera, papel -GABE</t>
  </si>
  <si>
    <t>-17.296,70</t>
  </si>
  <si>
    <t>41.723,12</t>
  </si>
  <si>
    <t>escalera, cuchillas, grife -GABE</t>
  </si>
  <si>
    <t>-108.026,29</t>
  </si>
  <si>
    <t>59.019,82</t>
  </si>
  <si>
    <t>TRAV0019421518000053335</t>
  </si>
  <si>
    <t>17.500,00</t>
  </si>
  <si>
    <t>167.046,11</t>
  </si>
  <si>
    <t>TRAV0019421518000053334</t>
  </si>
  <si>
    <t>133.000,00</t>
  </si>
  <si>
    <t>149.546,11</t>
  </si>
  <si>
    <t>GABE-3$</t>
  </si>
  <si>
    <t>747,60</t>
  </si>
  <si>
    <t>8.342,77</t>
  </si>
  <si>
    <t>GABE-Roger-Gasolina</t>
  </si>
  <si>
    <t>10.331,12</t>
  </si>
  <si>
    <t>DR OB V12351402 102BANCO</t>
  </si>
  <si>
    <t>GABE-Mavelys Rodriguez</t>
  </si>
  <si>
    <t>-18.060,00</t>
  </si>
  <si>
    <t>42.548,74</t>
  </si>
  <si>
    <t>TRAV0019421518000053080</t>
  </si>
  <si>
    <t>54.400,00</t>
  </si>
  <si>
    <t>63.839,41</t>
  </si>
  <si>
    <t>internetGABE</t>
  </si>
  <si>
    <t>-5.862,01</t>
  </si>
  <si>
    <t>30.089,87</t>
  </si>
  <si>
    <t>TRAV0019421518000052972</t>
  </si>
  <si>
    <t>Pmis-Cierre-52$ (GABE - Emilio?)</t>
  </si>
  <si>
    <t>16.640,00</t>
  </si>
  <si>
    <t>28.911,88</t>
  </si>
  <si>
    <t>GABE-aporte-TomasManrique-6$</t>
  </si>
  <si>
    <t>26.643,79</t>
  </si>
  <si>
    <t>GABE-GallinasAlimento-70$</t>
  </si>
  <si>
    <t>25.203,79</t>
  </si>
  <si>
    <t>GABE-Prestamo-100$-Gabriel</t>
  </si>
  <si>
    <t>33.000,00</t>
  </si>
  <si>
    <t>45.203,79</t>
  </si>
  <si>
    <t>GABE-aporte-SobeidaNiño</t>
  </si>
  <si>
    <t>729,33</t>
  </si>
  <si>
    <t>19.318,99</t>
  </si>
  <si>
    <t>Categoria</t>
  </si>
  <si>
    <t>Monto Total ($)</t>
  </si>
  <si>
    <t>Columna 1</t>
  </si>
  <si>
    <t>Niño</t>
  </si>
  <si>
    <t>Gabriel</t>
  </si>
  <si>
    <t>Moriah-Elioenay</t>
  </si>
  <si>
    <t>Iglesia El Shaddai</t>
  </si>
  <si>
    <t>???</t>
  </si>
  <si>
    <t>Carmen Julia</t>
  </si>
  <si>
    <t xml:space="preserve">Moriah </t>
  </si>
  <si>
    <t>Josue Lobo</t>
  </si>
  <si>
    <t>Betty Anselmi</t>
  </si>
  <si>
    <t>Mario-Transp</t>
  </si>
  <si>
    <t>Tomás Manrique</t>
  </si>
  <si>
    <t>TRAV00194215180</t>
  </si>
  <si>
    <t>Sierra</t>
  </si>
  <si>
    <t>(menos 350 de Jota)</t>
  </si>
  <si>
    <t>menos lo de Sierra(3472)</t>
  </si>
  <si>
    <t>menos lo de Gabriel(2250+500)</t>
  </si>
  <si>
    <t>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</si>
</sst>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11">
    <font>
      <sz val="10"/>
      <color rgb="FF000000"/>
      <name val="Arial"/>
      <scheme val="minor"/>
    </font>
    <font>
      <u/>
      <sz val="11"/>
      <color rgb="FF467886"/>
      <name val="&quot;Aptos Narrow&quot;"/>
    </font>
    <font>
      <u/>
      <sz val="11"/>
      <color rgb="FF467886"/>
      <name val="&quot;Aptos Narrow&quot;"/>
    </font>
    <font>
      <u/>
      <sz val="10"/>
      <color rgb="FF467886"/>
      <name val="&quot;Aptos Narrow&quot;"/>
    </font>
    <font>
      <u/>
      <sz val="11"/>
      <color rgb="FF467886"/>
      <name val="Arial"/>
    </font>
    <font>
      <sz val="11"/>
      <color rgb="FF000000"/>
      <name val="&quot;Aptos Narrow&quot;"/>
    </font>
    <font>
      <sz val="10"/>
      <color rgb="FF000000"/>
      <name val="&quot;Aptos Narrow&quot;"/>
    </font>
    <font>
      <i/>
      <sz val="10"/>
      <color rgb="FF000000"/>
      <name val="&quot;Aptos Narrow&quot;"/>
    </font>
    <font>
      <sz val="10"/>
      <color rgb="FF000000"/>
      <name val="Arial"/>
    </font>
    <font>
      <b/>
      <u/>
      <sz val="11"/>
      <color rgb="FF467886"/>
      <name val="&quot;Aptos Narrow&quot;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  <fill>
      <patternFill patternType="solid">
        <fgColor rgb="FF99CC00"/>
        <bgColor rgb="FF99CC00"/>
      </patternFill>
    </fill>
    <fill>
      <patternFill patternType="solid">
        <fgColor rgb="FF4D93D9"/>
        <bgColor rgb="FF4D93D9"/>
      </patternFill>
    </fill>
    <fill>
      <patternFill patternType="solid">
        <fgColor rgb="FF8ED973"/>
        <bgColor rgb="FF8ED97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0" fontId="5" fillId="0" borderId="0" xfId="0" applyFont="1" applyAlignment="1">
      <alignment horizontal="right"/>
    </xf>
    <xf numFmtId="0" fontId="6" fillId="6" borderId="0" xfId="0" applyFont="1" applyFill="1"/>
    <xf numFmtId="0" fontId="6" fillId="6" borderId="0" xfId="0" applyFont="1" applyFill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164" fontId="6" fillId="8" borderId="0" xfId="0" applyNumberFormat="1" applyFont="1" applyFill="1" applyAlignment="1">
      <alignment horizontal="right"/>
    </xf>
    <xf numFmtId="0" fontId="6" fillId="8" borderId="0" xfId="0" applyFont="1" applyFill="1"/>
    <xf numFmtId="0" fontId="6" fillId="8" borderId="0" xfId="0" applyFont="1" applyFill="1" applyAlignment="1">
      <alignment horizontal="right"/>
    </xf>
    <xf numFmtId="0" fontId="8" fillId="8" borderId="0" xfId="0" applyFont="1" applyFill="1" applyAlignment="1">
      <alignment horizontal="right"/>
    </xf>
    <xf numFmtId="0" fontId="7" fillId="8" borderId="0" xfId="0" applyFont="1" applyFill="1" applyAlignment="1">
      <alignment horizontal="right"/>
    </xf>
    <xf numFmtId="0" fontId="5" fillId="8" borderId="0" xfId="0" applyFont="1" applyFill="1"/>
    <xf numFmtId="164" fontId="6" fillId="9" borderId="0" xfId="0" applyNumberFormat="1" applyFont="1" applyFill="1" applyAlignment="1">
      <alignment horizontal="right"/>
    </xf>
    <xf numFmtId="0" fontId="6" fillId="9" borderId="0" xfId="0" applyFont="1" applyFill="1"/>
    <xf numFmtId="0" fontId="8" fillId="3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5" fillId="9" borderId="0" xfId="0" applyFont="1" applyFill="1"/>
    <xf numFmtId="0" fontId="8" fillId="6" borderId="0" xfId="0" applyFont="1" applyFill="1" applyAlignment="1">
      <alignment horizontal="right"/>
    </xf>
    <xf numFmtId="0" fontId="9" fillId="0" borderId="0" xfId="0" applyFont="1"/>
    <xf numFmtId="2" fontId="6" fillId="3" borderId="0" xfId="0" applyNumberFormat="1" applyFont="1" applyFill="1" applyAlignment="1">
      <alignment horizontal="right"/>
    </xf>
    <xf numFmtId="2" fontId="5" fillId="0" borderId="0" xfId="0" applyNumberFormat="1" applyFont="1"/>
    <xf numFmtId="2" fontId="5" fillId="3" borderId="0" xfId="0" applyNumberFormat="1" applyFont="1" applyFill="1" applyAlignment="1">
      <alignment horizontal="right"/>
    </xf>
    <xf numFmtId="2" fontId="6" fillId="7" borderId="0" xfId="0" applyNumberFormat="1" applyFont="1" applyFill="1" applyAlignment="1">
      <alignment horizontal="right"/>
    </xf>
    <xf numFmtId="2" fontId="8" fillId="3" borderId="0" xfId="0" applyNumberFormat="1" applyFont="1" applyFill="1"/>
    <xf numFmtId="2" fontId="6" fillId="6" borderId="0" xfId="0" applyNumberFormat="1" applyFont="1" applyFill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2" fontId="10" fillId="0" borderId="0" xfId="0" applyNumberFormat="1" applyFont="1" applyAlignment="1">
      <alignment vertical="center"/>
    </xf>
    <xf numFmtId="2" fontId="10" fillId="0" borderId="0" xfId="0" applyNumberFormat="1" applyFont="1"/>
    <xf numFmtId="0" fontId="10" fillId="0" borderId="0" xfId="0" applyFont="1"/>
    <xf numFmtId="2" fontId="5" fillId="0" borderId="0" xfId="0" applyNumberFormat="1" applyFont="1" applyAlignment="1">
      <alignment horizontal="right"/>
    </xf>
  </cellXfs>
  <cellStyles count="1">
    <cellStyle name="Normal" xfId="0" builtinId="0"/>
  </cellStyles>
  <dxfs count="8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Gráfico1 Distribución del Monto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Hoja 3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s-VE" b="0">
                <a:solidFill>
                  <a:srgbClr val="444746"/>
                </a:solidFill>
                <a:latin typeface="+mn-lt"/>
              </a:rPr>
              <a:t>Distribución del Monto en $ por Descripción (Agrupado)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'Gráfico1 Distribución del Monto'!$B$3</c:f>
              <c:strCache>
                <c:ptCount val="1"/>
                <c:pt idx="0">
                  <c:v>Monto Total ($)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9BF-48E8-B105-B6D76505E39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9BF-48E8-B105-B6D76505E39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9BF-48E8-B105-B6D76505E39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9BF-48E8-B105-B6D76505E39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B9BF-48E8-B105-B6D76505E39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B9BF-48E8-B105-B6D76505E39B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B9BF-48E8-B105-B6D76505E39B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B9BF-48E8-B105-B6D76505E39B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B9BF-48E8-B105-B6D76505E39B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B9BF-48E8-B105-B6D76505E39B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B9BF-48E8-B105-B6D76505E39B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B9BF-48E8-B105-B6D76505E39B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B9BF-48E8-B105-B6D76505E39B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B9BF-48E8-B105-B6D76505E39B}"/>
              </c:ext>
            </c:extLst>
          </c:dPt>
          <c:cat>
            <c:strRef>
              <c:f>'Gráfico1 Distribución del Monto'!$A$4:$A$17</c:f>
              <c:strCache>
                <c:ptCount val="14"/>
                <c:pt idx="0">
                  <c:v>ABO.DRV0010358188</c:v>
                </c:pt>
                <c:pt idx="1">
                  <c:v>ABO.DRV0025153977</c:v>
                </c:pt>
                <c:pt idx="2">
                  <c:v>CR.I/REC 0105 V016016241</c:v>
                </c:pt>
                <c:pt idx="3">
                  <c:v>CR.I/REC 0134 V019894081</c:v>
                </c:pt>
                <c:pt idx="4">
                  <c:v>DR OB 04124256198 102BAN</c:v>
                </c:pt>
                <c:pt idx="5">
                  <c:v>DR OB 04127514012 102BAN</c:v>
                </c:pt>
                <c:pt idx="6">
                  <c:v>DR OB 04140464403 102BAN</c:v>
                </c:pt>
                <c:pt idx="7">
                  <c:v>DR OB 04142698301 104VZL</c:v>
                </c:pt>
                <c:pt idx="8">
                  <c:v>DR OB 04146714189 105MER</c:v>
                </c:pt>
                <c:pt idx="9">
                  <c:v>DR OB 04147080109 102BAN</c:v>
                </c:pt>
                <c:pt idx="10">
                  <c:v>DR OB 04149798372 102BAN</c:v>
                </c:pt>
                <c:pt idx="11">
                  <c:v>DR OB 04247379454 172BAN</c:v>
                </c:pt>
                <c:pt idx="12">
                  <c:v>DR OB 04247788217 102BAN</c:v>
                </c:pt>
                <c:pt idx="13">
                  <c:v>TRAV00194215180</c:v>
                </c:pt>
              </c:strCache>
            </c:strRef>
          </c:cat>
          <c:val>
            <c:numRef>
              <c:f>'Gráfico1 Distribución del Monto'!$B$4:$B$17</c:f>
              <c:numCache>
                <c:formatCode>0.00</c:formatCode>
                <c:ptCount val="14"/>
                <c:pt idx="0">
                  <c:v>15</c:v>
                </c:pt>
                <c:pt idx="1">
                  <c:v>500</c:v>
                </c:pt>
                <c:pt idx="2">
                  <c:v>6</c:v>
                </c:pt>
                <c:pt idx="3">
                  <c:v>2250</c:v>
                </c:pt>
                <c:pt idx="4">
                  <c:v>6</c:v>
                </c:pt>
                <c:pt idx="5">
                  <c:v>12</c:v>
                </c:pt>
                <c:pt idx="6">
                  <c:v>9</c:v>
                </c:pt>
                <c:pt idx="7">
                  <c:v>5.38</c:v>
                </c:pt>
                <c:pt idx="8">
                  <c:v>3</c:v>
                </c:pt>
                <c:pt idx="9">
                  <c:v>9</c:v>
                </c:pt>
                <c:pt idx="10">
                  <c:v>38.99</c:v>
                </c:pt>
                <c:pt idx="11">
                  <c:v>13</c:v>
                </c:pt>
                <c:pt idx="12">
                  <c:v>33</c:v>
                </c:pt>
                <c:pt idx="13">
                  <c:v>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9BF-48E8-B105-B6D76505E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VE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Distribución del Monto en $ por Descripción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'Hoja 3'!$B$3</c:f>
              <c:strCache>
                <c:ptCount val="1"/>
                <c:pt idx="0">
                  <c:v>Columna 1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1E8-4162-950A-CD35752D35D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1E8-4162-950A-CD35752D35D7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1E8-4162-950A-CD35752D35D7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1E8-4162-950A-CD35752D35D7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1E8-4162-950A-CD35752D35D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1E8-4162-950A-CD35752D35D7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1E8-4162-950A-CD35752D35D7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1E8-4162-950A-CD35752D35D7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1E8-4162-950A-CD35752D35D7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A1E8-4162-950A-CD35752D35D7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A1E8-4162-950A-CD35752D35D7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A1E8-4162-950A-CD35752D35D7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A1E8-4162-950A-CD35752D35D7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A1E8-4162-950A-CD35752D35D7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A1E8-4162-950A-CD35752D35D7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A1E8-4162-950A-CD35752D35D7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A1E8-4162-950A-CD35752D35D7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A1E8-4162-950A-CD35752D35D7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A1E8-4162-950A-CD35752D35D7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A1E8-4162-950A-CD35752D35D7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A1E8-4162-950A-CD35752D35D7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A1E8-4162-950A-CD35752D35D7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A1E8-4162-950A-CD35752D35D7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</c:spPr>
            <c:extLst>
              <c:ext xmlns:c16="http://schemas.microsoft.com/office/drawing/2014/chart" uri="{C3380CC4-5D6E-409C-BE32-E72D297353CC}">
                <c16:uniqueId val="{0000002F-A1E8-4162-950A-CD35752D35D7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</c:spPr>
            <c:extLst>
              <c:ext xmlns:c16="http://schemas.microsoft.com/office/drawing/2014/chart" uri="{C3380CC4-5D6E-409C-BE32-E72D297353CC}">
                <c16:uniqueId val="{00000031-A1E8-4162-950A-CD35752D35D7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</c:spPr>
            <c:extLst>
              <c:ext xmlns:c16="http://schemas.microsoft.com/office/drawing/2014/chart" uri="{C3380CC4-5D6E-409C-BE32-E72D297353CC}">
                <c16:uniqueId val="{00000033-A1E8-4162-950A-CD35752D35D7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</c:spPr>
            <c:extLst>
              <c:ext xmlns:c16="http://schemas.microsoft.com/office/drawing/2014/chart" uri="{C3380CC4-5D6E-409C-BE32-E72D297353CC}">
                <c16:uniqueId val="{00000035-A1E8-4162-950A-CD35752D35D7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</c:spPr>
            <c:extLst>
              <c:ext xmlns:c16="http://schemas.microsoft.com/office/drawing/2014/chart" uri="{C3380CC4-5D6E-409C-BE32-E72D297353CC}">
                <c16:uniqueId val="{00000037-A1E8-4162-950A-CD35752D35D7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</c:spPr>
            <c:extLst>
              <c:ext xmlns:c16="http://schemas.microsoft.com/office/drawing/2014/chart" uri="{C3380CC4-5D6E-409C-BE32-E72D297353CC}">
                <c16:uniqueId val="{00000039-A1E8-4162-950A-CD35752D35D7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</c:spPr>
            <c:extLst>
              <c:ext xmlns:c16="http://schemas.microsoft.com/office/drawing/2014/chart" uri="{C3380CC4-5D6E-409C-BE32-E72D297353CC}">
                <c16:uniqueId val="{0000003B-A1E8-4162-950A-CD35752D35D7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</c:spPr>
            <c:extLst>
              <c:ext xmlns:c16="http://schemas.microsoft.com/office/drawing/2014/chart" uri="{C3380CC4-5D6E-409C-BE32-E72D297353CC}">
                <c16:uniqueId val="{0000003D-A1E8-4162-950A-CD35752D35D7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</c:spPr>
            <c:extLst>
              <c:ext xmlns:c16="http://schemas.microsoft.com/office/drawing/2014/chart" uri="{C3380CC4-5D6E-409C-BE32-E72D297353CC}">
                <c16:uniqueId val="{0000003F-A1E8-4162-950A-CD35752D35D7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</c:spPr>
            <c:extLst>
              <c:ext xmlns:c16="http://schemas.microsoft.com/office/drawing/2014/chart" uri="{C3380CC4-5D6E-409C-BE32-E72D297353CC}">
                <c16:uniqueId val="{00000041-A1E8-4162-950A-CD35752D35D7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</c:spPr>
            <c:extLst>
              <c:ext xmlns:c16="http://schemas.microsoft.com/office/drawing/2014/chart" uri="{C3380CC4-5D6E-409C-BE32-E72D297353CC}">
                <c16:uniqueId val="{00000043-A1E8-4162-950A-CD35752D35D7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</c:spPr>
            <c:extLst>
              <c:ext xmlns:c16="http://schemas.microsoft.com/office/drawing/2014/chart" uri="{C3380CC4-5D6E-409C-BE32-E72D297353CC}">
                <c16:uniqueId val="{00000045-A1E8-4162-950A-CD35752D35D7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</c:spPr>
            <c:extLst>
              <c:ext xmlns:c16="http://schemas.microsoft.com/office/drawing/2014/chart" uri="{C3380CC4-5D6E-409C-BE32-E72D297353CC}">
                <c16:uniqueId val="{00000047-A1E8-4162-950A-CD35752D35D7}"/>
              </c:ext>
            </c:extLst>
          </c:dPt>
          <c:cat>
            <c:strRef>
              <c:f>'Hoja 3'!$A$4:$A$39</c:f>
              <c:strCache>
                <c:ptCount val="36"/>
                <c:pt idx="0">
                  <c:v>CR.I/REC 0134 V019894081</c:v>
                </c:pt>
                <c:pt idx="1">
                  <c:v>DR OB 04149798372 102BAN</c:v>
                </c:pt>
                <c:pt idx="2">
                  <c:v>DR OB 04142698301 104VZL</c:v>
                </c:pt>
                <c:pt idx="3">
                  <c:v>ABO.DRV0025153977</c:v>
                </c:pt>
                <c:pt idx="4">
                  <c:v>TRAV0019421518000053623</c:v>
                </c:pt>
                <c:pt idx="5">
                  <c:v>TRAV0019421518000053334</c:v>
                </c:pt>
                <c:pt idx="6">
                  <c:v>TRAV0019421518000055152</c:v>
                </c:pt>
                <c:pt idx="7">
                  <c:v>TRAV0019421518000054927</c:v>
                </c:pt>
                <c:pt idx="8">
                  <c:v>TRAV0019421518000054839</c:v>
                </c:pt>
                <c:pt idx="9">
                  <c:v>TRAV0019421518000054758</c:v>
                </c:pt>
                <c:pt idx="10">
                  <c:v>TRAV0019421518000054583</c:v>
                </c:pt>
                <c:pt idx="11">
                  <c:v>TRAV0019421518000054014</c:v>
                </c:pt>
                <c:pt idx="12">
                  <c:v>TRAV0019421518000053706</c:v>
                </c:pt>
                <c:pt idx="13">
                  <c:v>TRAV0019421518000053875</c:v>
                </c:pt>
                <c:pt idx="14">
                  <c:v>TRAV0019421518000053080</c:v>
                </c:pt>
                <c:pt idx="15">
                  <c:v>TRAV0019421518000055633</c:v>
                </c:pt>
                <c:pt idx="16">
                  <c:v>TRAV0019421518000055070</c:v>
                </c:pt>
                <c:pt idx="17">
                  <c:v>TRAV0019421518000054944</c:v>
                </c:pt>
                <c:pt idx="18">
                  <c:v>TRAV0019421518000054097</c:v>
                </c:pt>
                <c:pt idx="19">
                  <c:v>TRAV0019421518000054341</c:v>
                </c:pt>
                <c:pt idx="20">
                  <c:v>TRAV0019421518000053392</c:v>
                </c:pt>
                <c:pt idx="21">
                  <c:v>TRAV0019421518000052972</c:v>
                </c:pt>
                <c:pt idx="22">
                  <c:v>TRAV0019421518000053335</c:v>
                </c:pt>
                <c:pt idx="23">
                  <c:v>TRAV0019421518000054414</c:v>
                </c:pt>
                <c:pt idx="24">
                  <c:v>TRAV0019421518000055556</c:v>
                </c:pt>
                <c:pt idx="25">
                  <c:v>TRAV0019421518000054417</c:v>
                </c:pt>
                <c:pt idx="26">
                  <c:v>TRAV0019421518000054256</c:v>
                </c:pt>
                <c:pt idx="27">
                  <c:v>DR OB 04247788217 102BAN</c:v>
                </c:pt>
                <c:pt idx="28">
                  <c:v>ABO.DRV0010358188</c:v>
                </c:pt>
                <c:pt idx="29">
                  <c:v>DR OB 04247379454 172BAN</c:v>
                </c:pt>
                <c:pt idx="30">
                  <c:v>DR OB 04127514012 102BAN</c:v>
                </c:pt>
                <c:pt idx="31">
                  <c:v>DR OB 04140464403 102BAN</c:v>
                </c:pt>
                <c:pt idx="32">
                  <c:v>DR OB 04147080109 102BAN</c:v>
                </c:pt>
                <c:pt idx="33">
                  <c:v>DR OB 04124256198 102BAN</c:v>
                </c:pt>
                <c:pt idx="34">
                  <c:v>CR.I/REC 0105 V016016241</c:v>
                </c:pt>
                <c:pt idx="35">
                  <c:v>DR OB 04146714189 105MER</c:v>
                </c:pt>
              </c:strCache>
            </c:strRef>
          </c:cat>
          <c:val>
            <c:numRef>
              <c:f>'Hoja 3'!$B$4:$B$39</c:f>
              <c:numCache>
                <c:formatCode>General</c:formatCode>
                <c:ptCount val="36"/>
                <c:pt idx="0">
                  <c:v>2250</c:v>
                </c:pt>
                <c:pt idx="1">
                  <c:v>1942</c:v>
                </c:pt>
                <c:pt idx="2">
                  <c:v>538</c:v>
                </c:pt>
                <c:pt idx="3">
                  <c:v>500</c:v>
                </c:pt>
                <c:pt idx="4">
                  <c:v>400</c:v>
                </c:pt>
                <c:pt idx="5">
                  <c:v>400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180</c:v>
                </c:pt>
                <c:pt idx="14">
                  <c:v>170</c:v>
                </c:pt>
                <c:pt idx="15">
                  <c:v>150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70</c:v>
                </c:pt>
                <c:pt idx="21">
                  <c:v>52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33</c:v>
                </c:pt>
                <c:pt idx="28">
                  <c:v>15</c:v>
                </c:pt>
                <c:pt idx="29">
                  <c:v>13</c:v>
                </c:pt>
                <c:pt idx="30">
                  <c:v>12</c:v>
                </c:pt>
                <c:pt idx="31">
                  <c:v>9</c:v>
                </c:pt>
                <c:pt idx="32">
                  <c:v>9</c:v>
                </c:pt>
                <c:pt idx="33">
                  <c:v>6</c:v>
                </c:pt>
                <c:pt idx="34">
                  <c:v>6</c:v>
                </c:pt>
                <c:pt idx="3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A1E8-4162-950A-CD35752D3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VE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0</xdr:row>
      <xdr:rowOff>0</xdr:rowOff>
    </xdr:from>
    <xdr:ext cx="7839075" cy="4705350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tribución_del_Monto_en_por_Descripción_Agrupado_" displayName="Distribución_del_Monto_en_por_Descripción_Agrupado_" ref="A3:C17">
  <tableColumns count="3">
    <tableColumn id="1" xr3:uid="{00000000-0010-0000-0000-000001000000}" name="Categoria"/>
    <tableColumn id="2" xr3:uid="{00000000-0010-0000-0000-000002000000}" name="Monto Total ($)"/>
    <tableColumn id="3" xr3:uid="{00000000-0010-0000-0000-000003000000}" name="Columna 1"/>
  </tableColumns>
  <tableStyleInfo name="Gráfico1 Distribución del Mon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tribución_del_Monto_en_por_Descripción" displayName="Distribución_del_Monto_en_por_Descripción" ref="A3:B39">
  <tableColumns count="2">
    <tableColumn id="1" xr3:uid="{00000000-0010-0000-0100-000001000000}" name="Descripción"/>
    <tableColumn id="2" xr3:uid="{00000000-0010-0000-0100-000002000000}" name="Columna 1"/>
  </tableColumns>
  <tableStyleInfo name="Hoja 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98"/>
  <sheetViews>
    <sheetView workbookViewId="0"/>
  </sheetViews>
  <sheetFormatPr baseColWidth="10" defaultColWidth="12.5703125" defaultRowHeight="15.75" customHeight="1"/>
  <cols>
    <col min="2" max="2" width="30" customWidth="1"/>
    <col min="3" max="3" width="31.7109375" customWidth="1"/>
    <col min="5" max="5" width="8.5703125" customWidth="1"/>
    <col min="7" max="8" width="7.85546875" customWidth="1"/>
  </cols>
  <sheetData>
    <row r="1" spans="1:8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5" t="s">
        <v>7</v>
      </c>
    </row>
    <row r="2" spans="1:8">
      <c r="A2" s="6">
        <v>46160</v>
      </c>
      <c r="B2" s="7" t="s">
        <v>8</v>
      </c>
      <c r="C2" s="8" t="s">
        <v>9</v>
      </c>
      <c r="D2" s="9" t="s">
        <v>10</v>
      </c>
      <c r="E2" s="10">
        <v>-10</v>
      </c>
      <c r="F2" s="11" t="s">
        <v>11</v>
      </c>
      <c r="G2" s="5" t="str">
        <f t="shared" ref="G2:G198" si="0">IF(E2&gt;=0, E2, "")</f>
        <v/>
      </c>
      <c r="H2" s="5">
        <f t="shared" ref="H2:H198" si="1">IF(E2&lt;0, E2, "")</f>
        <v>-10</v>
      </c>
    </row>
    <row r="3" spans="1:8">
      <c r="A3" s="6">
        <v>46155</v>
      </c>
      <c r="B3" s="7" t="s">
        <v>12</v>
      </c>
      <c r="C3" s="12" t="s">
        <v>13</v>
      </c>
      <c r="D3" s="13" t="s">
        <v>14</v>
      </c>
      <c r="E3" s="13">
        <v>50</v>
      </c>
      <c r="F3" s="14" t="s">
        <v>15</v>
      </c>
      <c r="G3" s="5">
        <f t="shared" si="0"/>
        <v>50</v>
      </c>
      <c r="H3" s="5" t="str">
        <f t="shared" si="1"/>
        <v/>
      </c>
    </row>
    <row r="4" spans="1:8">
      <c r="A4" s="6">
        <v>46153</v>
      </c>
      <c r="B4" s="7" t="s">
        <v>16</v>
      </c>
      <c r="C4" s="8" t="s">
        <v>17</v>
      </c>
      <c r="D4" s="9" t="s">
        <v>18</v>
      </c>
      <c r="E4" s="10">
        <v>-50</v>
      </c>
      <c r="F4" s="11" t="s">
        <v>19</v>
      </c>
      <c r="G4" s="5" t="str">
        <f t="shared" si="0"/>
        <v/>
      </c>
      <c r="H4" s="5">
        <f t="shared" si="1"/>
        <v>-50</v>
      </c>
    </row>
    <row r="5" spans="1:8">
      <c r="A5" s="6">
        <v>46150</v>
      </c>
      <c r="B5" s="7" t="s">
        <v>12</v>
      </c>
      <c r="C5" s="12" t="s">
        <v>20</v>
      </c>
      <c r="D5" s="13" t="s">
        <v>21</v>
      </c>
      <c r="E5" s="13">
        <v>50</v>
      </c>
      <c r="F5" s="14" t="s">
        <v>22</v>
      </c>
      <c r="G5" s="5">
        <f t="shared" si="0"/>
        <v>50</v>
      </c>
      <c r="H5" s="5" t="str">
        <f t="shared" si="1"/>
        <v/>
      </c>
    </row>
    <row r="6" spans="1:8">
      <c r="A6" s="6">
        <v>46147</v>
      </c>
      <c r="B6" s="7" t="s">
        <v>23</v>
      </c>
      <c r="C6" s="12" t="s">
        <v>24</v>
      </c>
      <c r="D6" s="13" t="s">
        <v>25</v>
      </c>
      <c r="E6" s="13">
        <v>12</v>
      </c>
      <c r="F6" s="14" t="s">
        <v>26</v>
      </c>
      <c r="G6" s="5">
        <f t="shared" si="0"/>
        <v>12</v>
      </c>
      <c r="H6" s="5" t="str">
        <f t="shared" si="1"/>
        <v/>
      </c>
    </row>
    <row r="7" spans="1:8">
      <c r="A7" s="6">
        <v>46147</v>
      </c>
      <c r="B7" s="7" t="s">
        <v>16</v>
      </c>
      <c r="C7" s="8" t="s">
        <v>27</v>
      </c>
      <c r="D7" s="9" t="s">
        <v>28</v>
      </c>
      <c r="E7" s="10">
        <v>-50</v>
      </c>
      <c r="F7" s="11" t="s">
        <v>29</v>
      </c>
      <c r="G7" s="5" t="str">
        <f t="shared" si="0"/>
        <v/>
      </c>
      <c r="H7" s="5">
        <f t="shared" si="1"/>
        <v>-50</v>
      </c>
    </row>
    <row r="8" spans="1:8">
      <c r="A8" s="6">
        <v>46147</v>
      </c>
      <c r="B8" s="7" t="s">
        <v>12</v>
      </c>
      <c r="C8" s="12" t="s">
        <v>20</v>
      </c>
      <c r="D8" s="13" t="s">
        <v>21</v>
      </c>
      <c r="E8" s="13">
        <v>50</v>
      </c>
      <c r="F8" s="14" t="s">
        <v>30</v>
      </c>
      <c r="G8" s="5">
        <f t="shared" si="0"/>
        <v>50</v>
      </c>
      <c r="H8" s="5" t="str">
        <f t="shared" si="1"/>
        <v/>
      </c>
    </row>
    <row r="9" spans="1:8">
      <c r="A9" s="6">
        <v>46144</v>
      </c>
      <c r="B9" s="7" t="s">
        <v>31</v>
      </c>
      <c r="C9" s="8" t="s">
        <v>32</v>
      </c>
      <c r="D9" s="9" t="s">
        <v>33</v>
      </c>
      <c r="E9" s="10">
        <v>-25</v>
      </c>
      <c r="F9" s="11" t="s">
        <v>34</v>
      </c>
      <c r="G9" s="5" t="str">
        <f t="shared" si="0"/>
        <v/>
      </c>
      <c r="H9" s="5">
        <f t="shared" si="1"/>
        <v>-25</v>
      </c>
    </row>
    <row r="10" spans="1:8">
      <c r="A10" s="6">
        <v>46143</v>
      </c>
      <c r="B10" s="7" t="s">
        <v>12</v>
      </c>
      <c r="C10" s="12" t="s">
        <v>20</v>
      </c>
      <c r="D10" s="13" t="s">
        <v>35</v>
      </c>
      <c r="E10" s="13">
        <v>50</v>
      </c>
      <c r="F10" s="14" t="s">
        <v>36</v>
      </c>
      <c r="G10" s="5">
        <f t="shared" si="0"/>
        <v>50</v>
      </c>
      <c r="H10" s="5" t="str">
        <f t="shared" si="1"/>
        <v/>
      </c>
    </row>
    <row r="11" spans="1:8">
      <c r="A11" s="6">
        <v>46142</v>
      </c>
      <c r="B11" s="7" t="s">
        <v>31</v>
      </c>
      <c r="C11" s="8" t="s">
        <v>37</v>
      </c>
      <c r="D11" s="9" t="s">
        <v>38</v>
      </c>
      <c r="E11" s="10">
        <v>-30</v>
      </c>
      <c r="F11" s="11" t="s">
        <v>39</v>
      </c>
      <c r="G11" s="5" t="str">
        <f t="shared" si="0"/>
        <v/>
      </c>
      <c r="H11" s="5">
        <f t="shared" si="1"/>
        <v>-30</v>
      </c>
    </row>
    <row r="12" spans="1:8">
      <c r="A12" s="6">
        <v>46141</v>
      </c>
      <c r="B12" s="7" t="s">
        <v>40</v>
      </c>
      <c r="C12" s="8" t="s">
        <v>41</v>
      </c>
      <c r="D12" s="9" t="s">
        <v>42</v>
      </c>
      <c r="E12" s="10">
        <v>-5</v>
      </c>
      <c r="F12" s="11" t="s">
        <v>43</v>
      </c>
      <c r="G12" s="5" t="str">
        <f t="shared" si="0"/>
        <v/>
      </c>
      <c r="H12" s="5">
        <f t="shared" si="1"/>
        <v>-5</v>
      </c>
    </row>
    <row r="13" spans="1:8">
      <c r="A13" s="6">
        <v>46141</v>
      </c>
      <c r="B13" s="7" t="s">
        <v>44</v>
      </c>
      <c r="C13" s="12" t="s">
        <v>45</v>
      </c>
      <c r="D13" s="13" t="s">
        <v>46</v>
      </c>
      <c r="E13" s="13">
        <v>3</v>
      </c>
      <c r="F13" s="14" t="s">
        <v>47</v>
      </c>
      <c r="G13" s="5">
        <f t="shared" si="0"/>
        <v>3</v>
      </c>
      <c r="H13" s="5" t="str">
        <f t="shared" si="1"/>
        <v/>
      </c>
    </row>
    <row r="14" spans="1:8">
      <c r="A14" s="6">
        <v>46140</v>
      </c>
      <c r="B14" s="7" t="s">
        <v>48</v>
      </c>
      <c r="C14" s="8" t="s">
        <v>49</v>
      </c>
      <c r="D14" s="9" t="s">
        <v>50</v>
      </c>
      <c r="E14" s="10">
        <v>-40</v>
      </c>
      <c r="F14" s="11" t="s">
        <v>51</v>
      </c>
      <c r="G14" s="5" t="str">
        <f t="shared" si="0"/>
        <v/>
      </c>
      <c r="H14" s="5">
        <f t="shared" si="1"/>
        <v>-40</v>
      </c>
    </row>
    <row r="15" spans="1:8">
      <c r="A15" s="6">
        <v>46140</v>
      </c>
      <c r="B15" s="7" t="s">
        <v>12</v>
      </c>
      <c r="C15" s="12" t="s">
        <v>20</v>
      </c>
      <c r="D15" s="13" t="s">
        <v>21</v>
      </c>
      <c r="E15" s="13">
        <v>50</v>
      </c>
      <c r="F15" s="14" t="s">
        <v>52</v>
      </c>
      <c r="G15" s="5">
        <f t="shared" si="0"/>
        <v>50</v>
      </c>
      <c r="H15" s="5" t="str">
        <f t="shared" si="1"/>
        <v/>
      </c>
    </row>
    <row r="16" spans="1:8">
      <c r="A16" s="6">
        <v>46140</v>
      </c>
      <c r="B16" s="7" t="s">
        <v>53</v>
      </c>
      <c r="C16" s="8" t="s">
        <v>54</v>
      </c>
      <c r="D16" s="9" t="s">
        <v>55</v>
      </c>
      <c r="E16" s="10">
        <v>-27</v>
      </c>
      <c r="F16" s="11" t="s">
        <v>56</v>
      </c>
      <c r="G16" s="5" t="str">
        <f t="shared" si="0"/>
        <v/>
      </c>
      <c r="H16" s="5">
        <f t="shared" si="1"/>
        <v>-27</v>
      </c>
    </row>
    <row r="17" spans="1:8">
      <c r="A17" s="6">
        <v>46139</v>
      </c>
      <c r="B17" s="7" t="s">
        <v>16</v>
      </c>
      <c r="C17" s="8" t="s">
        <v>27</v>
      </c>
      <c r="D17" s="9" t="s">
        <v>57</v>
      </c>
      <c r="E17" s="10">
        <v>-50</v>
      </c>
      <c r="F17" s="11" t="s">
        <v>58</v>
      </c>
      <c r="G17" s="5" t="str">
        <f t="shared" si="0"/>
        <v/>
      </c>
      <c r="H17" s="5">
        <f t="shared" si="1"/>
        <v>-50</v>
      </c>
    </row>
    <row r="18" spans="1:8">
      <c r="A18" s="6">
        <v>46137</v>
      </c>
      <c r="B18" s="7" t="s">
        <v>12</v>
      </c>
      <c r="C18" s="12" t="s">
        <v>20</v>
      </c>
      <c r="D18" s="13" t="s">
        <v>59</v>
      </c>
      <c r="E18" s="13">
        <v>80</v>
      </c>
      <c r="F18" s="14" t="s">
        <v>60</v>
      </c>
      <c r="G18" s="5">
        <f t="shared" si="0"/>
        <v>80</v>
      </c>
      <c r="H18" s="5" t="str">
        <f t="shared" si="1"/>
        <v/>
      </c>
    </row>
    <row r="19" spans="1:8">
      <c r="A19" s="6">
        <v>46133</v>
      </c>
      <c r="B19" s="7" t="s">
        <v>61</v>
      </c>
      <c r="C19" s="12" t="s">
        <v>62</v>
      </c>
      <c r="D19" s="13" t="s">
        <v>63</v>
      </c>
      <c r="E19" s="13">
        <v>3.4</v>
      </c>
      <c r="F19" s="14" t="s">
        <v>64</v>
      </c>
      <c r="G19" s="5">
        <f t="shared" si="0"/>
        <v>3.4</v>
      </c>
      <c r="H19" s="5" t="str">
        <f t="shared" si="1"/>
        <v/>
      </c>
    </row>
    <row r="20" spans="1:8">
      <c r="A20" s="6">
        <v>46133</v>
      </c>
      <c r="B20" s="7" t="s">
        <v>65</v>
      </c>
      <c r="C20" s="8" t="s">
        <v>66</v>
      </c>
      <c r="D20" s="9" t="s">
        <v>67</v>
      </c>
      <c r="E20" s="10">
        <v>-25</v>
      </c>
      <c r="F20" s="11" t="s">
        <v>68</v>
      </c>
      <c r="G20" s="5" t="str">
        <f t="shared" si="0"/>
        <v/>
      </c>
      <c r="H20" s="5">
        <f t="shared" si="1"/>
        <v>-25</v>
      </c>
    </row>
    <row r="21" spans="1:8">
      <c r="A21" s="6">
        <v>46132</v>
      </c>
      <c r="B21" s="7" t="s">
        <v>12</v>
      </c>
      <c r="C21" s="12" t="s">
        <v>20</v>
      </c>
      <c r="D21" s="13" t="s">
        <v>35</v>
      </c>
      <c r="E21" s="13">
        <v>50</v>
      </c>
      <c r="F21" s="14" t="s">
        <v>69</v>
      </c>
      <c r="G21" s="5">
        <f t="shared" si="0"/>
        <v>50</v>
      </c>
      <c r="H21" s="5" t="str">
        <f t="shared" si="1"/>
        <v/>
      </c>
    </row>
    <row r="22" spans="1:8">
      <c r="A22" s="6">
        <v>46132</v>
      </c>
      <c r="B22" s="7" t="s">
        <v>70</v>
      </c>
      <c r="C22" s="12" t="s">
        <v>71</v>
      </c>
      <c r="D22" s="13" t="s">
        <v>72</v>
      </c>
      <c r="E22" s="13">
        <v>18</v>
      </c>
      <c r="F22" s="14" t="s">
        <v>73</v>
      </c>
      <c r="G22" s="5">
        <f t="shared" si="0"/>
        <v>18</v>
      </c>
      <c r="H22" s="5" t="str">
        <f t="shared" si="1"/>
        <v/>
      </c>
    </row>
    <row r="23" spans="1:8">
      <c r="A23" s="6">
        <v>46130</v>
      </c>
      <c r="B23" s="7" t="s">
        <v>16</v>
      </c>
      <c r="C23" s="8" t="s">
        <v>27</v>
      </c>
      <c r="D23" s="9" t="s">
        <v>74</v>
      </c>
      <c r="E23" s="10">
        <v>-50</v>
      </c>
      <c r="F23" s="11" t="s">
        <v>75</v>
      </c>
      <c r="G23" s="5" t="str">
        <f t="shared" si="0"/>
        <v/>
      </c>
      <c r="H23" s="5">
        <f t="shared" si="1"/>
        <v>-50</v>
      </c>
    </row>
    <row r="24" spans="1:8">
      <c r="A24" s="6">
        <v>46126</v>
      </c>
      <c r="B24" s="7" t="s">
        <v>61</v>
      </c>
      <c r="C24" s="12" t="s">
        <v>62</v>
      </c>
      <c r="D24" s="13" t="s">
        <v>76</v>
      </c>
      <c r="E24" s="13">
        <v>3</v>
      </c>
      <c r="F24" s="14" t="s">
        <v>77</v>
      </c>
      <c r="G24" s="5">
        <f t="shared" si="0"/>
        <v>3</v>
      </c>
      <c r="H24" s="5" t="str">
        <f t="shared" si="1"/>
        <v/>
      </c>
    </row>
    <row r="25" spans="1:8">
      <c r="A25" s="6">
        <v>46122</v>
      </c>
      <c r="B25" s="7" t="s">
        <v>16</v>
      </c>
      <c r="C25" s="8" t="s">
        <v>27</v>
      </c>
      <c r="D25" s="9" t="s">
        <v>57</v>
      </c>
      <c r="E25" s="10">
        <v>-50</v>
      </c>
      <c r="F25" s="11" t="s">
        <v>78</v>
      </c>
      <c r="G25" s="5" t="str">
        <f t="shared" si="0"/>
        <v/>
      </c>
      <c r="H25" s="5">
        <f t="shared" si="1"/>
        <v>-50</v>
      </c>
    </row>
    <row r="26" spans="1:8">
      <c r="A26" s="6">
        <v>46122</v>
      </c>
      <c r="B26" s="7" t="s">
        <v>12</v>
      </c>
      <c r="C26" s="12" t="s">
        <v>20</v>
      </c>
      <c r="D26" s="13" t="s">
        <v>79</v>
      </c>
      <c r="E26" s="13">
        <v>70</v>
      </c>
      <c r="F26" s="14" t="s">
        <v>80</v>
      </c>
      <c r="G26" s="5">
        <f t="shared" si="0"/>
        <v>70</v>
      </c>
      <c r="H26" s="5" t="str">
        <f t="shared" si="1"/>
        <v/>
      </c>
    </row>
    <row r="27" spans="1:8">
      <c r="A27" s="6">
        <v>46119</v>
      </c>
      <c r="B27" s="7" t="s">
        <v>61</v>
      </c>
      <c r="C27" s="12" t="s">
        <v>81</v>
      </c>
      <c r="D27" s="13" t="s">
        <v>82</v>
      </c>
      <c r="E27" s="12"/>
      <c r="F27" s="14" t="s">
        <v>83</v>
      </c>
      <c r="G27" s="5">
        <f t="shared" si="0"/>
        <v>0</v>
      </c>
      <c r="H27" s="5" t="str">
        <f t="shared" si="1"/>
        <v/>
      </c>
    </row>
    <row r="28" spans="1:8">
      <c r="A28" s="6">
        <v>46114</v>
      </c>
      <c r="B28" s="7" t="s">
        <v>16</v>
      </c>
      <c r="C28" s="8" t="s">
        <v>27</v>
      </c>
      <c r="D28" s="9" t="s">
        <v>84</v>
      </c>
      <c r="E28" s="10">
        <v>-50</v>
      </c>
      <c r="F28" s="11" t="s">
        <v>85</v>
      </c>
      <c r="G28" s="5" t="str">
        <f t="shared" si="0"/>
        <v/>
      </c>
      <c r="H28" s="5">
        <f t="shared" si="1"/>
        <v>-50</v>
      </c>
    </row>
    <row r="29" spans="1:8">
      <c r="A29" s="6">
        <v>46113</v>
      </c>
      <c r="B29" s="7" t="s">
        <v>86</v>
      </c>
      <c r="C29" s="12" t="s">
        <v>87</v>
      </c>
      <c r="D29" s="13" t="s">
        <v>88</v>
      </c>
      <c r="E29" s="13">
        <v>3</v>
      </c>
      <c r="F29" s="14" t="s">
        <v>89</v>
      </c>
      <c r="G29" s="5">
        <f t="shared" si="0"/>
        <v>3</v>
      </c>
      <c r="H29" s="5" t="str">
        <f t="shared" si="1"/>
        <v/>
      </c>
    </row>
    <row r="30" spans="1:8">
      <c r="A30" s="6">
        <v>46112</v>
      </c>
      <c r="B30" s="7" t="s">
        <v>12</v>
      </c>
      <c r="C30" s="12" t="s">
        <v>20</v>
      </c>
      <c r="D30" s="13" t="s">
        <v>90</v>
      </c>
      <c r="E30" s="13">
        <v>100</v>
      </c>
      <c r="F30" s="14" t="s">
        <v>91</v>
      </c>
      <c r="G30" s="5">
        <f t="shared" si="0"/>
        <v>100</v>
      </c>
      <c r="H30" s="5" t="str">
        <f t="shared" si="1"/>
        <v/>
      </c>
    </row>
    <row r="31" spans="1:8">
      <c r="A31" s="6">
        <v>46112</v>
      </c>
      <c r="B31" s="7" t="s">
        <v>92</v>
      </c>
      <c r="C31" s="8" t="s">
        <v>93</v>
      </c>
      <c r="D31" s="9" t="s">
        <v>94</v>
      </c>
      <c r="E31" s="10">
        <v>-22</v>
      </c>
      <c r="F31" s="11" t="s">
        <v>95</v>
      </c>
      <c r="G31" s="5" t="str">
        <f t="shared" si="0"/>
        <v/>
      </c>
      <c r="H31" s="5">
        <f t="shared" si="1"/>
        <v>-22</v>
      </c>
    </row>
    <row r="32" spans="1:8">
      <c r="A32" s="6">
        <v>46112</v>
      </c>
      <c r="B32" s="7" t="s">
        <v>16</v>
      </c>
      <c r="C32" s="8" t="s">
        <v>96</v>
      </c>
      <c r="D32" s="9" t="s">
        <v>97</v>
      </c>
      <c r="E32" s="9">
        <v>-31</v>
      </c>
      <c r="F32" s="11" t="s">
        <v>98</v>
      </c>
      <c r="G32" s="5" t="str">
        <f t="shared" si="0"/>
        <v/>
      </c>
      <c r="H32" s="5">
        <f t="shared" si="1"/>
        <v>-31</v>
      </c>
    </row>
    <row r="33" spans="1:8">
      <c r="A33" s="6">
        <v>46110</v>
      </c>
      <c r="B33" s="7" t="s">
        <v>99</v>
      </c>
      <c r="C33" s="12" t="s">
        <v>100</v>
      </c>
      <c r="D33" s="13" t="s">
        <v>101</v>
      </c>
      <c r="E33" s="13">
        <v>-21.92</v>
      </c>
      <c r="F33" s="14" t="s">
        <v>102</v>
      </c>
      <c r="G33" s="5" t="str">
        <f t="shared" si="0"/>
        <v/>
      </c>
      <c r="H33" s="5">
        <f t="shared" si="1"/>
        <v>-21.92</v>
      </c>
    </row>
    <row r="34" spans="1:8">
      <c r="A34" s="6">
        <v>46110</v>
      </c>
      <c r="B34" s="7" t="s">
        <v>103</v>
      </c>
      <c r="C34" s="8" t="s">
        <v>104</v>
      </c>
      <c r="D34" s="9" t="s">
        <v>105</v>
      </c>
      <c r="E34" s="10">
        <v>-35</v>
      </c>
      <c r="F34" s="11" t="s">
        <v>106</v>
      </c>
      <c r="G34" s="5" t="str">
        <f t="shared" si="0"/>
        <v/>
      </c>
      <c r="H34" s="5">
        <f t="shared" si="1"/>
        <v>-35</v>
      </c>
    </row>
    <row r="35" spans="1:8">
      <c r="A35" s="6">
        <v>46110</v>
      </c>
      <c r="B35" s="7" t="s">
        <v>107</v>
      </c>
      <c r="C35" s="8" t="s">
        <v>108</v>
      </c>
      <c r="D35" s="9" t="s">
        <v>109</v>
      </c>
      <c r="E35" s="10">
        <v>-25</v>
      </c>
      <c r="F35" s="11" t="s">
        <v>110</v>
      </c>
      <c r="G35" s="5" t="str">
        <f t="shared" si="0"/>
        <v/>
      </c>
      <c r="H35" s="5">
        <f t="shared" si="1"/>
        <v>-25</v>
      </c>
    </row>
    <row r="36" spans="1:8">
      <c r="A36" s="6">
        <v>46109</v>
      </c>
      <c r="B36" s="7" t="s">
        <v>12</v>
      </c>
      <c r="C36" s="12" t="s">
        <v>20</v>
      </c>
      <c r="D36" s="13" t="s">
        <v>14</v>
      </c>
      <c r="E36" s="13">
        <v>50</v>
      </c>
      <c r="F36" s="14" t="s">
        <v>111</v>
      </c>
      <c r="G36" s="5">
        <f t="shared" si="0"/>
        <v>50</v>
      </c>
      <c r="H36" s="5" t="str">
        <f t="shared" si="1"/>
        <v/>
      </c>
    </row>
    <row r="37" spans="1:8">
      <c r="A37" s="6">
        <v>46108</v>
      </c>
      <c r="B37" s="7" t="s">
        <v>16</v>
      </c>
      <c r="C37" s="8" t="s">
        <v>112</v>
      </c>
      <c r="D37" s="9" t="s">
        <v>113</v>
      </c>
      <c r="E37" s="10">
        <v>-20</v>
      </c>
      <c r="F37" s="11" t="s">
        <v>114</v>
      </c>
      <c r="G37" s="5" t="str">
        <f t="shared" si="0"/>
        <v/>
      </c>
      <c r="H37" s="5">
        <f t="shared" si="1"/>
        <v>-20</v>
      </c>
    </row>
    <row r="38" spans="1:8">
      <c r="A38" s="6">
        <v>46107</v>
      </c>
      <c r="B38" s="7" t="s">
        <v>92</v>
      </c>
      <c r="C38" s="8" t="s">
        <v>115</v>
      </c>
      <c r="D38" s="9" t="s">
        <v>116</v>
      </c>
      <c r="E38" s="10">
        <v>-5</v>
      </c>
      <c r="F38" s="11" t="s">
        <v>117</v>
      </c>
      <c r="G38" s="5" t="str">
        <f t="shared" si="0"/>
        <v/>
      </c>
      <c r="H38" s="5">
        <f t="shared" si="1"/>
        <v>-5</v>
      </c>
    </row>
    <row r="39" spans="1:8">
      <c r="A39" s="6">
        <v>46107</v>
      </c>
      <c r="B39" s="7" t="s">
        <v>12</v>
      </c>
      <c r="C39" s="12" t="s">
        <v>20</v>
      </c>
      <c r="D39" s="13" t="s">
        <v>118</v>
      </c>
      <c r="E39" s="13">
        <v>50</v>
      </c>
      <c r="F39" s="14" t="s">
        <v>119</v>
      </c>
      <c r="G39" s="5">
        <f t="shared" si="0"/>
        <v>50</v>
      </c>
      <c r="H39" s="5" t="str">
        <f t="shared" si="1"/>
        <v/>
      </c>
    </row>
    <row r="40" spans="1:8">
      <c r="A40" s="6">
        <v>46106</v>
      </c>
      <c r="B40" s="7" t="s">
        <v>120</v>
      </c>
      <c r="C40" s="8" t="s">
        <v>17</v>
      </c>
      <c r="D40" s="9" t="s">
        <v>121</v>
      </c>
      <c r="E40" s="10">
        <v>-36</v>
      </c>
      <c r="F40" s="11" t="s">
        <v>122</v>
      </c>
      <c r="G40" s="5" t="str">
        <f t="shared" si="0"/>
        <v/>
      </c>
      <c r="H40" s="5">
        <f t="shared" si="1"/>
        <v>-36</v>
      </c>
    </row>
    <row r="41" spans="1:8">
      <c r="A41" s="6">
        <v>46106</v>
      </c>
      <c r="B41" s="7" t="s">
        <v>16</v>
      </c>
      <c r="C41" s="8" t="s">
        <v>123</v>
      </c>
      <c r="D41" s="9" t="s">
        <v>124</v>
      </c>
      <c r="E41" s="10">
        <v>-20</v>
      </c>
      <c r="F41" s="11" t="s">
        <v>125</v>
      </c>
      <c r="G41" s="5" t="str">
        <f t="shared" si="0"/>
        <v/>
      </c>
      <c r="H41" s="5">
        <f t="shared" si="1"/>
        <v>-20</v>
      </c>
    </row>
    <row r="42" spans="1:8">
      <c r="A42" s="6">
        <v>46106</v>
      </c>
      <c r="B42" s="7" t="s">
        <v>126</v>
      </c>
      <c r="C42" s="8" t="s">
        <v>127</v>
      </c>
      <c r="D42" s="9" t="s">
        <v>128</v>
      </c>
      <c r="E42" s="10">
        <v>-1.5</v>
      </c>
      <c r="F42" s="11" t="s">
        <v>129</v>
      </c>
      <c r="G42" s="5" t="str">
        <f t="shared" si="0"/>
        <v/>
      </c>
      <c r="H42" s="5">
        <f t="shared" si="1"/>
        <v>-1.5</v>
      </c>
    </row>
    <row r="43" spans="1:8">
      <c r="A43" s="6">
        <v>46105</v>
      </c>
      <c r="B43" s="7" t="s">
        <v>31</v>
      </c>
      <c r="C43" s="8" t="s">
        <v>32</v>
      </c>
      <c r="D43" s="9" t="s">
        <v>130</v>
      </c>
      <c r="E43" s="10">
        <v>-25</v>
      </c>
      <c r="F43" s="11" t="s">
        <v>131</v>
      </c>
      <c r="G43" s="5" t="str">
        <f t="shared" si="0"/>
        <v/>
      </c>
      <c r="H43" s="5">
        <f t="shared" si="1"/>
        <v>-25</v>
      </c>
    </row>
    <row r="44" spans="1:8">
      <c r="A44" s="6">
        <v>46105</v>
      </c>
      <c r="B44" s="7" t="s">
        <v>132</v>
      </c>
      <c r="C44" s="8" t="s">
        <v>127</v>
      </c>
      <c r="D44" s="9" t="s">
        <v>133</v>
      </c>
      <c r="E44" s="10">
        <v>-0.5</v>
      </c>
      <c r="F44" s="11" t="s">
        <v>134</v>
      </c>
      <c r="G44" s="5" t="str">
        <f t="shared" si="0"/>
        <v/>
      </c>
      <c r="H44" s="5">
        <f t="shared" si="1"/>
        <v>-0.5</v>
      </c>
    </row>
    <row r="45" spans="1:8">
      <c r="A45" s="6">
        <v>46105</v>
      </c>
      <c r="B45" s="7" t="s">
        <v>12</v>
      </c>
      <c r="C45" s="12" t="s">
        <v>20</v>
      </c>
      <c r="D45" s="13" t="s">
        <v>135</v>
      </c>
      <c r="E45" s="13">
        <v>50</v>
      </c>
      <c r="F45" s="14" t="s">
        <v>136</v>
      </c>
      <c r="G45" s="5">
        <f t="shared" si="0"/>
        <v>50</v>
      </c>
      <c r="H45" s="5" t="str">
        <f t="shared" si="1"/>
        <v/>
      </c>
    </row>
    <row r="46" spans="1:8">
      <c r="A46" s="6">
        <v>46105</v>
      </c>
      <c r="B46" s="7" t="s">
        <v>31</v>
      </c>
      <c r="C46" s="8" t="s">
        <v>137</v>
      </c>
      <c r="D46" s="9" t="s">
        <v>138</v>
      </c>
      <c r="E46" s="10">
        <v>-40</v>
      </c>
      <c r="F46" s="11" t="s">
        <v>139</v>
      </c>
      <c r="G46" s="5" t="str">
        <f t="shared" si="0"/>
        <v/>
      </c>
      <c r="H46" s="5">
        <f t="shared" si="1"/>
        <v>-40</v>
      </c>
    </row>
    <row r="47" spans="1:8">
      <c r="A47" s="6">
        <v>46104</v>
      </c>
      <c r="B47" s="7" t="s">
        <v>61</v>
      </c>
      <c r="C47" s="12" t="s">
        <v>81</v>
      </c>
      <c r="D47" s="13" t="s">
        <v>140</v>
      </c>
      <c r="E47" s="13">
        <v>7.4</v>
      </c>
      <c r="F47" s="14" t="s">
        <v>141</v>
      </c>
      <c r="G47" s="5">
        <f t="shared" si="0"/>
        <v>7.4</v>
      </c>
      <c r="H47" s="5" t="str">
        <f t="shared" si="1"/>
        <v/>
      </c>
    </row>
    <row r="48" spans="1:8">
      <c r="A48" s="6">
        <v>46104</v>
      </c>
      <c r="B48" s="7" t="s">
        <v>31</v>
      </c>
      <c r="C48" s="8" t="s">
        <v>142</v>
      </c>
      <c r="D48" s="9" t="s">
        <v>97</v>
      </c>
      <c r="E48" s="10">
        <v>-20</v>
      </c>
      <c r="F48" s="11" t="s">
        <v>143</v>
      </c>
      <c r="G48" s="5" t="str">
        <f t="shared" si="0"/>
        <v/>
      </c>
      <c r="H48" s="5">
        <f t="shared" si="1"/>
        <v>-20</v>
      </c>
    </row>
    <row r="49" spans="1:8">
      <c r="A49" s="6">
        <v>46102</v>
      </c>
      <c r="B49" s="7" t="s">
        <v>31</v>
      </c>
      <c r="C49" s="8" t="s">
        <v>144</v>
      </c>
      <c r="D49" s="9" t="s">
        <v>145</v>
      </c>
      <c r="E49" s="10">
        <v>-25</v>
      </c>
      <c r="F49" s="11" t="s">
        <v>146</v>
      </c>
      <c r="G49" s="5" t="str">
        <f t="shared" si="0"/>
        <v/>
      </c>
      <c r="H49" s="5">
        <f t="shared" si="1"/>
        <v>-25</v>
      </c>
    </row>
    <row r="50" spans="1:8">
      <c r="A50" s="6">
        <v>46101</v>
      </c>
      <c r="B50" s="7" t="s">
        <v>31</v>
      </c>
      <c r="C50" s="8" t="s">
        <v>147</v>
      </c>
      <c r="D50" s="9" t="s">
        <v>148</v>
      </c>
      <c r="E50" s="10">
        <v>-30</v>
      </c>
      <c r="F50" s="11" t="s">
        <v>149</v>
      </c>
      <c r="G50" s="5" t="str">
        <f t="shared" si="0"/>
        <v/>
      </c>
      <c r="H50" s="5">
        <f t="shared" si="1"/>
        <v>-30</v>
      </c>
    </row>
    <row r="51" spans="1:8">
      <c r="A51" s="6">
        <v>46100</v>
      </c>
      <c r="B51" s="7" t="s">
        <v>150</v>
      </c>
      <c r="C51" s="8" t="s">
        <v>151</v>
      </c>
      <c r="D51" s="9" t="s">
        <v>152</v>
      </c>
      <c r="E51" s="10">
        <v>-10.98</v>
      </c>
      <c r="F51" s="11" t="s">
        <v>153</v>
      </c>
      <c r="G51" s="5" t="str">
        <f t="shared" si="0"/>
        <v/>
      </c>
      <c r="H51" s="5">
        <f t="shared" si="1"/>
        <v>-10.98</v>
      </c>
    </row>
    <row r="52" spans="1:8">
      <c r="A52" s="6">
        <v>46100</v>
      </c>
      <c r="B52" s="7" t="s">
        <v>154</v>
      </c>
      <c r="C52" s="8" t="s">
        <v>123</v>
      </c>
      <c r="D52" s="9" t="s">
        <v>155</v>
      </c>
      <c r="E52" s="10">
        <v>-8</v>
      </c>
      <c r="F52" s="11" t="s">
        <v>156</v>
      </c>
      <c r="G52" s="5" t="str">
        <f t="shared" si="0"/>
        <v/>
      </c>
      <c r="H52" s="5">
        <f t="shared" si="1"/>
        <v>-8</v>
      </c>
    </row>
    <row r="53" spans="1:8">
      <c r="A53" s="6">
        <v>46100</v>
      </c>
      <c r="B53" s="7" t="s">
        <v>157</v>
      </c>
      <c r="C53" s="8" t="s">
        <v>158</v>
      </c>
      <c r="D53" s="9" t="s">
        <v>159</v>
      </c>
      <c r="E53" s="10">
        <v>-8.5</v>
      </c>
      <c r="F53" s="11" t="s">
        <v>160</v>
      </c>
      <c r="G53" s="5" t="str">
        <f t="shared" si="0"/>
        <v/>
      </c>
      <c r="H53" s="5">
        <f t="shared" si="1"/>
        <v>-8.5</v>
      </c>
    </row>
    <row r="54" spans="1:8">
      <c r="A54" s="6">
        <v>46100</v>
      </c>
      <c r="B54" s="7" t="s">
        <v>161</v>
      </c>
      <c r="C54" s="8" t="s">
        <v>162</v>
      </c>
      <c r="D54" s="9" t="s">
        <v>163</v>
      </c>
      <c r="E54" s="10">
        <v>-9.3800000000000008</v>
      </c>
      <c r="F54" s="11" t="s">
        <v>164</v>
      </c>
      <c r="G54" s="5" t="str">
        <f t="shared" si="0"/>
        <v/>
      </c>
      <c r="H54" s="5">
        <f t="shared" si="1"/>
        <v>-9.3800000000000008</v>
      </c>
    </row>
    <row r="55" spans="1:8">
      <c r="A55" s="6">
        <v>46099</v>
      </c>
      <c r="B55" s="7" t="s">
        <v>12</v>
      </c>
      <c r="C55" s="12" t="s">
        <v>20</v>
      </c>
      <c r="D55" s="13" t="s">
        <v>21</v>
      </c>
      <c r="E55" s="13">
        <v>50</v>
      </c>
      <c r="F55" s="14" t="s">
        <v>165</v>
      </c>
      <c r="G55" s="5">
        <f t="shared" si="0"/>
        <v>50</v>
      </c>
      <c r="H55" s="5" t="str">
        <f t="shared" si="1"/>
        <v/>
      </c>
    </row>
    <row r="56" spans="1:8">
      <c r="A56" s="6">
        <v>46098</v>
      </c>
      <c r="B56" s="7" t="s">
        <v>31</v>
      </c>
      <c r="C56" s="8" t="s">
        <v>166</v>
      </c>
      <c r="D56" s="9" t="s">
        <v>167</v>
      </c>
      <c r="E56" s="10">
        <v>-30</v>
      </c>
      <c r="F56" s="11" t="s">
        <v>168</v>
      </c>
      <c r="G56" s="5" t="str">
        <f t="shared" si="0"/>
        <v/>
      </c>
      <c r="H56" s="5">
        <f t="shared" si="1"/>
        <v>-30</v>
      </c>
    </row>
    <row r="57" spans="1:8">
      <c r="A57" s="6">
        <v>46098</v>
      </c>
      <c r="B57" s="7" t="s">
        <v>12</v>
      </c>
      <c r="C57" s="12" t="s">
        <v>169</v>
      </c>
      <c r="D57" s="13" t="s">
        <v>35</v>
      </c>
      <c r="E57" s="13">
        <v>50</v>
      </c>
      <c r="F57" s="14" t="s">
        <v>170</v>
      </c>
      <c r="G57" s="5">
        <f t="shared" si="0"/>
        <v>50</v>
      </c>
      <c r="H57" s="5" t="str">
        <f t="shared" si="1"/>
        <v/>
      </c>
    </row>
    <row r="58" spans="1:8">
      <c r="A58" s="6">
        <v>46097</v>
      </c>
      <c r="B58" s="7" t="s">
        <v>61</v>
      </c>
      <c r="C58" s="12" t="s">
        <v>62</v>
      </c>
      <c r="D58" s="13" t="s">
        <v>171</v>
      </c>
      <c r="E58" s="13">
        <v>12</v>
      </c>
      <c r="F58" s="14" t="s">
        <v>172</v>
      </c>
      <c r="G58" s="5">
        <f t="shared" si="0"/>
        <v>12</v>
      </c>
      <c r="H58" s="5" t="str">
        <f t="shared" si="1"/>
        <v/>
      </c>
    </row>
    <row r="59" spans="1:8">
      <c r="A59" s="6">
        <v>46093</v>
      </c>
      <c r="B59" s="7" t="s">
        <v>31</v>
      </c>
      <c r="C59" s="8" t="s">
        <v>173</v>
      </c>
      <c r="D59" s="9" t="s">
        <v>38</v>
      </c>
      <c r="E59" s="10">
        <v>-30</v>
      </c>
      <c r="F59" s="11" t="s">
        <v>174</v>
      </c>
      <c r="G59" s="5" t="str">
        <f t="shared" si="0"/>
        <v/>
      </c>
      <c r="H59" s="5">
        <f t="shared" si="1"/>
        <v>-30</v>
      </c>
    </row>
    <row r="60" spans="1:8">
      <c r="A60" s="6">
        <v>46092</v>
      </c>
      <c r="B60" s="7" t="s">
        <v>61</v>
      </c>
      <c r="C60" s="12" t="s">
        <v>175</v>
      </c>
      <c r="D60" s="13" t="s">
        <v>176</v>
      </c>
      <c r="E60" s="13">
        <v>-17</v>
      </c>
      <c r="F60" s="14" t="s">
        <v>177</v>
      </c>
      <c r="G60" s="5" t="str">
        <f t="shared" si="0"/>
        <v/>
      </c>
      <c r="H60" s="5">
        <f t="shared" si="1"/>
        <v>-17</v>
      </c>
    </row>
    <row r="61" spans="1:8">
      <c r="A61" s="6">
        <v>46092</v>
      </c>
      <c r="B61" s="7" t="s">
        <v>65</v>
      </c>
      <c r="C61" s="8" t="s">
        <v>66</v>
      </c>
      <c r="D61" s="9" t="s">
        <v>178</v>
      </c>
      <c r="E61" s="10">
        <v>-25</v>
      </c>
      <c r="F61" s="11" t="s">
        <v>179</v>
      </c>
      <c r="G61" s="5" t="str">
        <f t="shared" si="0"/>
        <v/>
      </c>
      <c r="H61" s="5">
        <f t="shared" si="1"/>
        <v>-25</v>
      </c>
    </row>
    <row r="62" spans="1:8">
      <c r="A62" s="6">
        <v>46090</v>
      </c>
      <c r="B62" s="7" t="s">
        <v>31</v>
      </c>
      <c r="C62" s="8" t="s">
        <v>180</v>
      </c>
      <c r="D62" s="9" t="s">
        <v>181</v>
      </c>
      <c r="E62" s="10">
        <v>-50</v>
      </c>
      <c r="F62" s="11" t="s">
        <v>182</v>
      </c>
      <c r="G62" s="5" t="str">
        <f t="shared" si="0"/>
        <v/>
      </c>
      <c r="H62" s="5">
        <f t="shared" si="1"/>
        <v>-50</v>
      </c>
    </row>
    <row r="63" spans="1:8">
      <c r="A63" s="6">
        <v>46090</v>
      </c>
      <c r="B63" s="7" t="s">
        <v>12</v>
      </c>
      <c r="C63" s="12" t="s">
        <v>20</v>
      </c>
      <c r="D63" s="13" t="s">
        <v>183</v>
      </c>
      <c r="E63" s="13">
        <v>100</v>
      </c>
      <c r="F63" s="14" t="s">
        <v>184</v>
      </c>
      <c r="G63" s="5">
        <f t="shared" si="0"/>
        <v>100</v>
      </c>
      <c r="H63" s="5" t="str">
        <f t="shared" si="1"/>
        <v/>
      </c>
    </row>
    <row r="64" spans="1:8">
      <c r="A64" s="6">
        <v>46088</v>
      </c>
      <c r="B64" s="7" t="s">
        <v>16</v>
      </c>
      <c r="C64" s="8" t="s">
        <v>185</v>
      </c>
      <c r="D64" s="9" t="s">
        <v>186</v>
      </c>
      <c r="E64" s="10">
        <v>-40</v>
      </c>
      <c r="F64" s="11" t="s">
        <v>187</v>
      </c>
      <c r="G64" s="5" t="str">
        <f t="shared" si="0"/>
        <v/>
      </c>
      <c r="H64" s="5">
        <f t="shared" si="1"/>
        <v>-40</v>
      </c>
    </row>
    <row r="65" spans="1:8">
      <c r="A65" s="6">
        <v>46088</v>
      </c>
      <c r="B65" s="7" t="s">
        <v>86</v>
      </c>
      <c r="C65" s="12" t="s">
        <v>87</v>
      </c>
      <c r="D65" s="13" t="s">
        <v>188</v>
      </c>
      <c r="E65" s="13">
        <v>3</v>
      </c>
      <c r="F65" s="14" t="s">
        <v>189</v>
      </c>
      <c r="G65" s="5">
        <f t="shared" si="0"/>
        <v>3</v>
      </c>
      <c r="H65" s="5" t="str">
        <f t="shared" si="1"/>
        <v/>
      </c>
    </row>
    <row r="66" spans="1:8">
      <c r="A66" s="6">
        <v>46087</v>
      </c>
      <c r="B66" s="7" t="s">
        <v>12</v>
      </c>
      <c r="C66" s="12" t="s">
        <v>20</v>
      </c>
      <c r="D66" s="13" t="s">
        <v>190</v>
      </c>
      <c r="E66" s="13">
        <v>50</v>
      </c>
      <c r="F66" s="14" t="s">
        <v>191</v>
      </c>
      <c r="G66" s="5">
        <f t="shared" si="0"/>
        <v>50</v>
      </c>
      <c r="H66" s="5" t="str">
        <f t="shared" si="1"/>
        <v/>
      </c>
    </row>
    <row r="67" spans="1:8">
      <c r="A67" s="6">
        <v>46085</v>
      </c>
      <c r="B67" s="7" t="s">
        <v>192</v>
      </c>
      <c r="C67" s="12" t="s">
        <v>193</v>
      </c>
      <c r="D67" s="13" t="s">
        <v>194</v>
      </c>
      <c r="E67" s="13">
        <v>13</v>
      </c>
      <c r="F67" s="14" t="s">
        <v>195</v>
      </c>
      <c r="G67" s="5">
        <f t="shared" si="0"/>
        <v>13</v>
      </c>
      <c r="H67" s="5" t="str">
        <f t="shared" si="1"/>
        <v/>
      </c>
    </row>
    <row r="68" spans="1:8">
      <c r="A68" s="6">
        <v>46085</v>
      </c>
      <c r="B68" s="7" t="s">
        <v>196</v>
      </c>
      <c r="C68" s="8" t="s">
        <v>197</v>
      </c>
      <c r="D68" s="9" t="s">
        <v>198</v>
      </c>
      <c r="E68" s="10">
        <v>-20</v>
      </c>
      <c r="F68" s="11" t="s">
        <v>199</v>
      </c>
      <c r="G68" s="5" t="str">
        <f t="shared" si="0"/>
        <v/>
      </c>
      <c r="H68" s="5">
        <f t="shared" si="1"/>
        <v>-20</v>
      </c>
    </row>
    <row r="69" spans="1:8">
      <c r="A69" s="6">
        <v>46084</v>
      </c>
      <c r="B69" s="7" t="s">
        <v>154</v>
      </c>
      <c r="C69" s="8" t="s">
        <v>200</v>
      </c>
      <c r="D69" s="9" t="s">
        <v>201</v>
      </c>
      <c r="E69" s="10">
        <v>-50</v>
      </c>
      <c r="F69" s="11" t="s">
        <v>202</v>
      </c>
      <c r="G69" s="5" t="str">
        <f t="shared" si="0"/>
        <v/>
      </c>
      <c r="H69" s="5">
        <f t="shared" si="1"/>
        <v>-50</v>
      </c>
    </row>
    <row r="70" spans="1:8">
      <c r="A70" s="6">
        <v>46083</v>
      </c>
      <c r="B70" s="7" t="s">
        <v>44</v>
      </c>
      <c r="C70" s="12" t="s">
        <v>203</v>
      </c>
      <c r="D70" s="13" t="s">
        <v>204</v>
      </c>
      <c r="E70" s="13">
        <v>3</v>
      </c>
      <c r="F70" s="14" t="s">
        <v>205</v>
      </c>
      <c r="G70" s="5">
        <f t="shared" si="0"/>
        <v>3</v>
      </c>
      <c r="H70" s="5" t="str">
        <f t="shared" si="1"/>
        <v/>
      </c>
    </row>
    <row r="71" spans="1:8">
      <c r="A71" s="6">
        <v>46083</v>
      </c>
      <c r="B71" s="7" t="s">
        <v>206</v>
      </c>
      <c r="C71" s="12" t="s">
        <v>207</v>
      </c>
      <c r="D71" s="13" t="s">
        <v>208</v>
      </c>
      <c r="E71" s="13">
        <v>3</v>
      </c>
      <c r="F71" s="14" t="s">
        <v>209</v>
      </c>
      <c r="G71" s="5">
        <f t="shared" si="0"/>
        <v>3</v>
      </c>
      <c r="H71" s="5" t="str">
        <f t="shared" si="1"/>
        <v/>
      </c>
    </row>
    <row r="72" spans="1:8">
      <c r="A72" s="6">
        <v>46083</v>
      </c>
      <c r="B72" s="7" t="s">
        <v>61</v>
      </c>
      <c r="C72" s="12" t="s">
        <v>175</v>
      </c>
      <c r="D72" s="13" t="s">
        <v>210</v>
      </c>
      <c r="E72" s="13">
        <v>7.14</v>
      </c>
      <c r="F72" s="14" t="s">
        <v>211</v>
      </c>
      <c r="G72" s="5">
        <f t="shared" si="0"/>
        <v>7.14</v>
      </c>
      <c r="H72" s="5" t="str">
        <f t="shared" si="1"/>
        <v/>
      </c>
    </row>
    <row r="73" spans="1:8">
      <c r="A73" s="6">
        <v>46082</v>
      </c>
      <c r="B73" s="7" t="s">
        <v>31</v>
      </c>
      <c r="C73" s="8" t="s">
        <v>173</v>
      </c>
      <c r="D73" s="9" t="s">
        <v>130</v>
      </c>
      <c r="E73" s="10">
        <v>-25</v>
      </c>
      <c r="F73" s="11" t="s">
        <v>212</v>
      </c>
      <c r="G73" s="5" t="str">
        <f t="shared" si="0"/>
        <v/>
      </c>
      <c r="H73" s="5">
        <f t="shared" si="1"/>
        <v>-25</v>
      </c>
    </row>
    <row r="74" spans="1:8">
      <c r="A74" s="6">
        <v>46081</v>
      </c>
      <c r="B74" s="7" t="s">
        <v>16</v>
      </c>
      <c r="C74" s="8" t="s">
        <v>213</v>
      </c>
      <c r="D74" s="9" t="s">
        <v>214</v>
      </c>
      <c r="E74" s="10">
        <v>-40</v>
      </c>
      <c r="F74" s="11" t="s">
        <v>215</v>
      </c>
      <c r="G74" s="5" t="str">
        <f t="shared" si="0"/>
        <v/>
      </c>
      <c r="H74" s="5">
        <f t="shared" si="1"/>
        <v>-40</v>
      </c>
    </row>
    <row r="75" spans="1:8">
      <c r="A75" s="6">
        <v>46081</v>
      </c>
      <c r="B75" s="7" t="s">
        <v>12</v>
      </c>
      <c r="C75" s="12" t="s">
        <v>20</v>
      </c>
      <c r="D75" s="13" t="s">
        <v>216</v>
      </c>
      <c r="E75" s="13">
        <v>100</v>
      </c>
      <c r="F75" s="14" t="s">
        <v>217</v>
      </c>
      <c r="G75" s="5">
        <f t="shared" si="0"/>
        <v>100</v>
      </c>
      <c r="H75" s="5" t="str">
        <f t="shared" si="1"/>
        <v/>
      </c>
    </row>
    <row r="76" spans="1:8">
      <c r="A76" s="6">
        <v>46080</v>
      </c>
      <c r="B76" s="7" t="s">
        <v>218</v>
      </c>
      <c r="C76" s="15" t="s">
        <v>219</v>
      </c>
      <c r="D76" s="13" t="s">
        <v>220</v>
      </c>
      <c r="E76" s="13">
        <v>150</v>
      </c>
      <c r="F76" s="11" t="s">
        <v>221</v>
      </c>
      <c r="G76" s="5">
        <f t="shared" si="0"/>
        <v>150</v>
      </c>
      <c r="H76" s="5" t="str">
        <f t="shared" si="1"/>
        <v/>
      </c>
    </row>
    <row r="77" spans="1:8">
      <c r="A77" s="6">
        <v>46077</v>
      </c>
      <c r="B77" s="7" t="s">
        <v>31</v>
      </c>
      <c r="C77" s="8" t="s">
        <v>147</v>
      </c>
      <c r="D77" s="9" t="s">
        <v>178</v>
      </c>
      <c r="E77" s="10">
        <v>-25</v>
      </c>
      <c r="F77" s="11" t="s">
        <v>222</v>
      </c>
      <c r="G77" s="5" t="str">
        <f t="shared" si="0"/>
        <v/>
      </c>
      <c r="H77" s="5">
        <f t="shared" si="1"/>
        <v>-25</v>
      </c>
    </row>
    <row r="78" spans="1:8">
      <c r="A78" s="6">
        <v>46077</v>
      </c>
      <c r="B78" s="7" t="s">
        <v>223</v>
      </c>
      <c r="C78" s="12" t="s">
        <v>224</v>
      </c>
      <c r="D78" s="13" t="s">
        <v>225</v>
      </c>
      <c r="E78" s="13">
        <v>50</v>
      </c>
      <c r="F78" s="14" t="s">
        <v>226</v>
      </c>
      <c r="G78" s="5">
        <f t="shared" si="0"/>
        <v>50</v>
      </c>
      <c r="H78" s="5" t="str">
        <f t="shared" si="1"/>
        <v/>
      </c>
    </row>
    <row r="79" spans="1:8">
      <c r="A79" s="6">
        <v>46077</v>
      </c>
      <c r="B79" s="7" t="s">
        <v>61</v>
      </c>
      <c r="C79" s="12" t="s">
        <v>227</v>
      </c>
      <c r="D79" s="13" t="s">
        <v>228</v>
      </c>
      <c r="E79" s="13">
        <v>11.05</v>
      </c>
      <c r="F79" s="14" t="s">
        <v>229</v>
      </c>
      <c r="G79" s="5">
        <f t="shared" si="0"/>
        <v>11.05</v>
      </c>
      <c r="H79" s="5" t="str">
        <f t="shared" si="1"/>
        <v/>
      </c>
    </row>
    <row r="80" spans="1:8">
      <c r="A80" s="6">
        <v>46074</v>
      </c>
      <c r="B80" s="7" t="s">
        <v>230</v>
      </c>
      <c r="C80" s="12" t="s">
        <v>231</v>
      </c>
      <c r="D80" s="13" t="s">
        <v>232</v>
      </c>
      <c r="E80" s="13">
        <v>3</v>
      </c>
      <c r="F80" s="14" t="s">
        <v>233</v>
      </c>
      <c r="G80" s="5">
        <f t="shared" si="0"/>
        <v>3</v>
      </c>
      <c r="H80" s="5" t="str">
        <f t="shared" si="1"/>
        <v/>
      </c>
    </row>
    <row r="81" spans="1:8">
      <c r="A81" s="6">
        <v>46073</v>
      </c>
      <c r="B81" s="7" t="s">
        <v>70</v>
      </c>
      <c r="C81" s="12" t="s">
        <v>234</v>
      </c>
      <c r="D81" s="13" t="s">
        <v>232</v>
      </c>
      <c r="E81" s="13">
        <v>3</v>
      </c>
      <c r="F81" s="14" t="s">
        <v>235</v>
      </c>
      <c r="G81" s="5">
        <f t="shared" si="0"/>
        <v>3</v>
      </c>
      <c r="H81" s="5" t="str">
        <f t="shared" si="1"/>
        <v/>
      </c>
    </row>
    <row r="82" spans="1:8">
      <c r="A82" s="6">
        <v>46073</v>
      </c>
      <c r="B82" s="7" t="s">
        <v>16</v>
      </c>
      <c r="C82" s="8" t="s">
        <v>213</v>
      </c>
      <c r="D82" s="9" t="s">
        <v>236</v>
      </c>
      <c r="E82" s="10">
        <v>-40</v>
      </c>
      <c r="F82" s="11" t="s">
        <v>237</v>
      </c>
      <c r="G82" s="5" t="str">
        <f t="shared" si="0"/>
        <v/>
      </c>
      <c r="H82" s="5">
        <f t="shared" si="1"/>
        <v>-40</v>
      </c>
    </row>
    <row r="83" spans="1:8">
      <c r="A83" s="6">
        <v>46073</v>
      </c>
      <c r="B83" s="7" t="s">
        <v>92</v>
      </c>
      <c r="C83" s="8" t="s">
        <v>238</v>
      </c>
      <c r="D83" s="9" t="s">
        <v>239</v>
      </c>
      <c r="E83" s="10">
        <v>-8</v>
      </c>
      <c r="F83" s="11" t="s">
        <v>240</v>
      </c>
      <c r="G83" s="5" t="str">
        <f t="shared" si="0"/>
        <v/>
      </c>
      <c r="H83" s="5">
        <f t="shared" si="1"/>
        <v>-8</v>
      </c>
    </row>
    <row r="84" spans="1:8">
      <c r="A84" s="6">
        <v>46072</v>
      </c>
      <c r="B84" s="7" t="s">
        <v>31</v>
      </c>
      <c r="C84" s="8" t="s">
        <v>147</v>
      </c>
      <c r="D84" s="9" t="s">
        <v>130</v>
      </c>
      <c r="E84" s="10">
        <v>-30</v>
      </c>
      <c r="F84" s="11" t="s">
        <v>241</v>
      </c>
      <c r="G84" s="5" t="str">
        <f t="shared" si="0"/>
        <v/>
      </c>
      <c r="H84" s="5">
        <f t="shared" si="1"/>
        <v>-30</v>
      </c>
    </row>
    <row r="85" spans="1:8">
      <c r="A85" s="6">
        <v>46071</v>
      </c>
      <c r="B85" s="7" t="s">
        <v>242</v>
      </c>
      <c r="C85" s="8" t="s">
        <v>243</v>
      </c>
      <c r="D85" s="9" t="s">
        <v>244</v>
      </c>
      <c r="E85" s="10">
        <v>-147</v>
      </c>
      <c r="F85" s="11" t="s">
        <v>245</v>
      </c>
      <c r="G85" s="5" t="str">
        <f t="shared" si="0"/>
        <v/>
      </c>
      <c r="H85" s="5">
        <f t="shared" si="1"/>
        <v>-147</v>
      </c>
    </row>
    <row r="86" spans="1:8">
      <c r="A86" s="6">
        <v>46071</v>
      </c>
      <c r="B86" s="7" t="s">
        <v>31</v>
      </c>
      <c r="C86" s="8" t="s">
        <v>246</v>
      </c>
      <c r="D86" s="9" t="s">
        <v>97</v>
      </c>
      <c r="E86" s="10">
        <v>-25</v>
      </c>
      <c r="F86" s="11" t="s">
        <v>247</v>
      </c>
      <c r="G86" s="5" t="str">
        <f t="shared" si="0"/>
        <v/>
      </c>
      <c r="H86" s="5">
        <f t="shared" si="1"/>
        <v>-25</v>
      </c>
    </row>
    <row r="87" spans="1:8">
      <c r="A87" s="6">
        <v>46071</v>
      </c>
      <c r="B87" s="7" t="s">
        <v>248</v>
      </c>
      <c r="C87" s="8" t="s">
        <v>249</v>
      </c>
      <c r="D87" s="9" t="s">
        <v>250</v>
      </c>
      <c r="E87" s="10">
        <v>-11</v>
      </c>
      <c r="F87" s="11" t="s">
        <v>251</v>
      </c>
      <c r="G87" s="5" t="str">
        <f t="shared" si="0"/>
        <v/>
      </c>
      <c r="H87" s="5">
        <f t="shared" si="1"/>
        <v>-11</v>
      </c>
    </row>
    <row r="88" spans="1:8">
      <c r="A88" s="6">
        <v>46070</v>
      </c>
      <c r="B88" s="7" t="s">
        <v>12</v>
      </c>
      <c r="C88" s="12" t="s">
        <v>252</v>
      </c>
      <c r="D88" s="13" t="s">
        <v>253</v>
      </c>
      <c r="E88" s="13">
        <v>200</v>
      </c>
      <c r="F88" s="14" t="s">
        <v>254</v>
      </c>
      <c r="G88" s="5">
        <f t="shared" si="0"/>
        <v>200</v>
      </c>
      <c r="H88" s="5" t="str">
        <f t="shared" si="1"/>
        <v/>
      </c>
    </row>
    <row r="89" spans="1:8">
      <c r="A89" s="6">
        <v>46070</v>
      </c>
      <c r="B89" s="7" t="s">
        <v>255</v>
      </c>
      <c r="C89" s="8" t="s">
        <v>256</v>
      </c>
      <c r="D89" s="9" t="s">
        <v>257</v>
      </c>
      <c r="E89" s="10">
        <v>-100</v>
      </c>
      <c r="F89" s="11" t="s">
        <v>258</v>
      </c>
      <c r="G89" s="5" t="str">
        <f t="shared" si="0"/>
        <v/>
      </c>
      <c r="H89" s="5">
        <f t="shared" si="1"/>
        <v>-100</v>
      </c>
    </row>
    <row r="90" spans="1:8">
      <c r="A90" s="6">
        <v>46069</v>
      </c>
      <c r="B90" s="7" t="s">
        <v>259</v>
      </c>
      <c r="C90" s="8" t="s">
        <v>260</v>
      </c>
      <c r="D90" s="9" t="s">
        <v>261</v>
      </c>
      <c r="E90" s="10">
        <v>-10</v>
      </c>
      <c r="F90" s="11" t="s">
        <v>262</v>
      </c>
      <c r="G90" s="5" t="str">
        <f t="shared" si="0"/>
        <v/>
      </c>
      <c r="H90" s="5">
        <f t="shared" si="1"/>
        <v>-10</v>
      </c>
    </row>
    <row r="91" spans="1:8">
      <c r="A91" s="6">
        <v>46069</v>
      </c>
      <c r="B91" s="7" t="s">
        <v>31</v>
      </c>
      <c r="C91" s="8" t="s">
        <v>263</v>
      </c>
      <c r="D91" s="9" t="s">
        <v>148</v>
      </c>
      <c r="E91" s="10">
        <v>-30</v>
      </c>
      <c r="F91" s="11" t="s">
        <v>264</v>
      </c>
      <c r="G91" s="5" t="str">
        <f t="shared" si="0"/>
        <v/>
      </c>
      <c r="H91" s="5">
        <f t="shared" si="1"/>
        <v>-30</v>
      </c>
    </row>
    <row r="92" spans="1:8">
      <c r="A92" s="6">
        <v>46069</v>
      </c>
      <c r="B92" s="7" t="s">
        <v>12</v>
      </c>
      <c r="C92" s="12" t="s">
        <v>252</v>
      </c>
      <c r="D92" s="13" t="s">
        <v>265</v>
      </c>
      <c r="E92" s="13">
        <v>150</v>
      </c>
      <c r="F92" s="14" t="s">
        <v>266</v>
      </c>
      <c r="G92" s="5">
        <f t="shared" si="0"/>
        <v>150</v>
      </c>
      <c r="H92" s="5" t="str">
        <f t="shared" si="1"/>
        <v/>
      </c>
    </row>
    <row r="93" spans="1:8">
      <c r="A93" s="6">
        <v>46067</v>
      </c>
      <c r="B93" s="7" t="s">
        <v>70</v>
      </c>
      <c r="C93" s="12" t="s">
        <v>234</v>
      </c>
      <c r="D93" s="13" t="s">
        <v>267</v>
      </c>
      <c r="E93" s="13">
        <v>6</v>
      </c>
      <c r="F93" s="14" t="s">
        <v>268</v>
      </c>
      <c r="G93" s="5">
        <f t="shared" si="0"/>
        <v>6</v>
      </c>
      <c r="H93" s="5" t="str">
        <f t="shared" si="1"/>
        <v/>
      </c>
    </row>
    <row r="94" spans="1:8">
      <c r="A94" s="6">
        <v>46066</v>
      </c>
      <c r="B94" s="7" t="s">
        <v>12</v>
      </c>
      <c r="C94" s="12" t="s">
        <v>20</v>
      </c>
      <c r="D94" s="13" t="s">
        <v>118</v>
      </c>
      <c r="E94" s="13">
        <v>50</v>
      </c>
      <c r="F94" s="14" t="s">
        <v>269</v>
      </c>
      <c r="G94" s="5">
        <f t="shared" si="0"/>
        <v>50</v>
      </c>
      <c r="H94" s="5" t="str">
        <f t="shared" si="1"/>
        <v/>
      </c>
    </row>
    <row r="95" spans="1:8">
      <c r="A95" s="6">
        <v>46065</v>
      </c>
      <c r="B95" s="7" t="s">
        <v>16</v>
      </c>
      <c r="C95" s="8" t="s">
        <v>213</v>
      </c>
      <c r="D95" s="9" t="s">
        <v>270</v>
      </c>
      <c r="E95" s="10">
        <v>-40</v>
      </c>
      <c r="F95" s="11" t="s">
        <v>271</v>
      </c>
      <c r="G95" s="5" t="str">
        <f t="shared" si="0"/>
        <v/>
      </c>
      <c r="H95" s="5">
        <f t="shared" si="1"/>
        <v>-40</v>
      </c>
    </row>
    <row r="96" spans="1:8">
      <c r="A96" s="6">
        <v>46065</v>
      </c>
      <c r="B96" s="7" t="s">
        <v>272</v>
      </c>
      <c r="C96" s="8" t="s">
        <v>273</v>
      </c>
      <c r="D96" s="9" t="s">
        <v>274</v>
      </c>
      <c r="E96" s="10">
        <v>-150</v>
      </c>
      <c r="F96" s="11" t="s">
        <v>275</v>
      </c>
      <c r="G96" s="5" t="str">
        <f t="shared" si="0"/>
        <v/>
      </c>
      <c r="H96" s="5">
        <f t="shared" si="1"/>
        <v>-150</v>
      </c>
    </row>
    <row r="97" spans="1:8">
      <c r="A97" s="6">
        <v>46065</v>
      </c>
      <c r="B97" s="7" t="s">
        <v>276</v>
      </c>
      <c r="C97" s="12" t="s">
        <v>277</v>
      </c>
      <c r="D97" s="13" t="s">
        <v>278</v>
      </c>
      <c r="E97" s="13">
        <v>200</v>
      </c>
      <c r="F97" s="14" t="s">
        <v>279</v>
      </c>
      <c r="G97" s="5">
        <f t="shared" si="0"/>
        <v>200</v>
      </c>
      <c r="H97" s="5" t="str">
        <f t="shared" si="1"/>
        <v/>
      </c>
    </row>
    <row r="98" spans="1:8">
      <c r="A98" s="6">
        <v>46064</v>
      </c>
      <c r="B98" s="7" t="s">
        <v>31</v>
      </c>
      <c r="C98" s="8" t="s">
        <v>280</v>
      </c>
      <c r="D98" s="9" t="s">
        <v>281</v>
      </c>
      <c r="E98" s="10">
        <v>-40</v>
      </c>
      <c r="F98" s="11" t="s">
        <v>282</v>
      </c>
      <c r="G98" s="5" t="str">
        <f t="shared" si="0"/>
        <v/>
      </c>
      <c r="H98" s="5">
        <f t="shared" si="1"/>
        <v>-40</v>
      </c>
    </row>
    <row r="99" spans="1:8">
      <c r="A99" s="6">
        <v>46063</v>
      </c>
      <c r="B99" s="7" t="s">
        <v>65</v>
      </c>
      <c r="C99" s="8" t="s">
        <v>66</v>
      </c>
      <c r="D99" s="9" t="s">
        <v>283</v>
      </c>
      <c r="E99" s="10">
        <v>-25</v>
      </c>
      <c r="F99" s="11" t="s">
        <v>284</v>
      </c>
      <c r="G99" s="5" t="str">
        <f t="shared" si="0"/>
        <v/>
      </c>
      <c r="H99" s="5">
        <f t="shared" si="1"/>
        <v>-25</v>
      </c>
    </row>
    <row r="100" spans="1:8">
      <c r="A100" s="6">
        <v>46062</v>
      </c>
      <c r="B100" s="7" t="s">
        <v>285</v>
      </c>
      <c r="C100" s="12" t="s">
        <v>286</v>
      </c>
      <c r="D100" s="13" t="s">
        <v>287</v>
      </c>
      <c r="E100" s="13">
        <v>3</v>
      </c>
      <c r="F100" s="14" t="s">
        <v>288</v>
      </c>
      <c r="G100" s="5">
        <f t="shared" si="0"/>
        <v>3</v>
      </c>
      <c r="H100" s="5" t="str">
        <f t="shared" si="1"/>
        <v/>
      </c>
    </row>
    <row r="101" spans="1:8">
      <c r="A101" s="6">
        <v>46062</v>
      </c>
      <c r="B101" s="7" t="s">
        <v>289</v>
      </c>
      <c r="C101" s="12" t="s">
        <v>277</v>
      </c>
      <c r="D101" s="13" t="s">
        <v>290</v>
      </c>
      <c r="E101" s="13">
        <v>100</v>
      </c>
      <c r="F101" s="14" t="s">
        <v>291</v>
      </c>
      <c r="G101" s="5">
        <f t="shared" si="0"/>
        <v>100</v>
      </c>
      <c r="H101" s="5" t="str">
        <f t="shared" si="1"/>
        <v/>
      </c>
    </row>
    <row r="102" spans="1:8">
      <c r="A102" s="6">
        <v>46062</v>
      </c>
      <c r="B102" s="7" t="s">
        <v>31</v>
      </c>
      <c r="C102" s="8" t="s">
        <v>292</v>
      </c>
      <c r="D102" s="9" t="s">
        <v>130</v>
      </c>
      <c r="E102" s="10">
        <v>-30</v>
      </c>
      <c r="F102" s="11" t="s">
        <v>293</v>
      </c>
      <c r="G102" s="5" t="str">
        <f t="shared" si="0"/>
        <v/>
      </c>
      <c r="H102" s="5">
        <f t="shared" si="1"/>
        <v>-30</v>
      </c>
    </row>
    <row r="103" spans="1:8">
      <c r="A103" s="6">
        <v>46061</v>
      </c>
      <c r="B103" s="7" t="s">
        <v>86</v>
      </c>
      <c r="C103" s="12" t="s">
        <v>294</v>
      </c>
      <c r="D103" s="13" t="s">
        <v>295</v>
      </c>
      <c r="E103" s="13">
        <v>3</v>
      </c>
      <c r="F103" s="14" t="s">
        <v>296</v>
      </c>
      <c r="G103" s="5">
        <f t="shared" si="0"/>
        <v>3</v>
      </c>
      <c r="H103" s="5" t="str">
        <f t="shared" si="1"/>
        <v/>
      </c>
    </row>
    <row r="104" spans="1:8">
      <c r="A104" s="6">
        <v>46059</v>
      </c>
      <c r="B104" s="7" t="s">
        <v>272</v>
      </c>
      <c r="C104" s="8" t="s">
        <v>273</v>
      </c>
      <c r="D104" s="9" t="s">
        <v>297</v>
      </c>
      <c r="E104" s="10">
        <v>-200</v>
      </c>
      <c r="F104" s="11" t="s">
        <v>298</v>
      </c>
      <c r="G104" s="5" t="str">
        <f t="shared" si="0"/>
        <v/>
      </c>
      <c r="H104" s="5">
        <f t="shared" si="1"/>
        <v>-200</v>
      </c>
    </row>
    <row r="105" spans="1:8">
      <c r="A105" s="6">
        <v>46059</v>
      </c>
      <c r="B105" s="7" t="s">
        <v>16</v>
      </c>
      <c r="C105" s="8" t="s">
        <v>213</v>
      </c>
      <c r="D105" s="9" t="s">
        <v>299</v>
      </c>
      <c r="E105" s="10">
        <v>-40</v>
      </c>
      <c r="F105" s="11" t="s">
        <v>300</v>
      </c>
      <c r="G105" s="5" t="str">
        <f t="shared" si="0"/>
        <v/>
      </c>
      <c r="H105" s="5">
        <f t="shared" si="1"/>
        <v>-40</v>
      </c>
    </row>
    <row r="106" spans="1:8">
      <c r="A106" s="6">
        <v>46059</v>
      </c>
      <c r="B106" s="7" t="s">
        <v>31</v>
      </c>
      <c r="C106" s="8" t="s">
        <v>147</v>
      </c>
      <c r="D106" s="9" t="s">
        <v>301</v>
      </c>
      <c r="E106" s="10">
        <v>-30</v>
      </c>
      <c r="F106" s="11" t="s">
        <v>302</v>
      </c>
      <c r="G106" s="5" t="str">
        <f t="shared" si="0"/>
        <v/>
      </c>
      <c r="H106" s="5">
        <f t="shared" si="1"/>
        <v>-30</v>
      </c>
    </row>
    <row r="107" spans="1:8">
      <c r="A107" s="6">
        <v>46058</v>
      </c>
      <c r="B107" s="7" t="s">
        <v>303</v>
      </c>
      <c r="C107" s="12" t="s">
        <v>277</v>
      </c>
      <c r="D107" s="13" t="s">
        <v>290</v>
      </c>
      <c r="E107" s="13">
        <v>100</v>
      </c>
      <c r="F107" s="14" t="s">
        <v>304</v>
      </c>
      <c r="G107" s="5">
        <f t="shared" si="0"/>
        <v>100</v>
      </c>
      <c r="H107" s="5" t="str">
        <f t="shared" si="1"/>
        <v/>
      </c>
    </row>
    <row r="108" spans="1:8">
      <c r="A108" s="6">
        <v>46058</v>
      </c>
      <c r="B108" s="7" t="s">
        <v>305</v>
      </c>
      <c r="C108" s="12" t="s">
        <v>277</v>
      </c>
      <c r="D108" s="13" t="s">
        <v>278</v>
      </c>
      <c r="E108" s="13">
        <v>200</v>
      </c>
      <c r="F108" s="14" t="s">
        <v>306</v>
      </c>
      <c r="G108" s="5">
        <f t="shared" si="0"/>
        <v>200</v>
      </c>
      <c r="H108" s="5" t="str">
        <f t="shared" si="1"/>
        <v/>
      </c>
    </row>
    <row r="109" spans="1:8">
      <c r="A109" s="6">
        <v>46056</v>
      </c>
      <c r="B109" s="7" t="s">
        <v>31</v>
      </c>
      <c r="C109" s="8" t="s">
        <v>307</v>
      </c>
      <c r="D109" s="9" t="s">
        <v>308</v>
      </c>
      <c r="E109" s="10">
        <v>-50</v>
      </c>
      <c r="F109" s="11" t="s">
        <v>309</v>
      </c>
      <c r="G109" s="5" t="str">
        <f t="shared" si="0"/>
        <v/>
      </c>
      <c r="H109" s="5">
        <f t="shared" si="1"/>
        <v>-50</v>
      </c>
    </row>
    <row r="110" spans="1:8">
      <c r="A110" s="6">
        <v>46055</v>
      </c>
      <c r="B110" s="7" t="s">
        <v>255</v>
      </c>
      <c r="C110" s="8" t="s">
        <v>310</v>
      </c>
      <c r="D110" s="9" t="s">
        <v>311</v>
      </c>
      <c r="E110" s="10">
        <v>-35.520000000000003</v>
      </c>
      <c r="F110" s="11" t="s">
        <v>312</v>
      </c>
      <c r="G110" s="5" t="str">
        <f t="shared" si="0"/>
        <v/>
      </c>
      <c r="H110" s="5">
        <f t="shared" si="1"/>
        <v>-35.520000000000003</v>
      </c>
    </row>
    <row r="111" spans="1:8">
      <c r="A111" s="6">
        <v>46055</v>
      </c>
      <c r="B111" s="7" t="s">
        <v>255</v>
      </c>
      <c r="C111" s="8" t="s">
        <v>310</v>
      </c>
      <c r="D111" s="9" t="s">
        <v>313</v>
      </c>
      <c r="E111" s="10">
        <v>-23.66</v>
      </c>
      <c r="F111" s="11" t="s">
        <v>314</v>
      </c>
      <c r="G111" s="5" t="str">
        <f t="shared" si="0"/>
        <v/>
      </c>
      <c r="H111" s="5">
        <f t="shared" si="1"/>
        <v>-23.66</v>
      </c>
    </row>
    <row r="112" spans="1:8">
      <c r="A112" s="6">
        <v>46055</v>
      </c>
      <c r="B112" s="7" t="s">
        <v>315</v>
      </c>
      <c r="C112" s="12" t="s">
        <v>316</v>
      </c>
      <c r="D112" s="13" t="s">
        <v>317</v>
      </c>
      <c r="E112" s="13">
        <v>5.38</v>
      </c>
      <c r="F112" s="14" t="s">
        <v>318</v>
      </c>
      <c r="G112" s="5">
        <f t="shared" si="0"/>
        <v>5.38</v>
      </c>
      <c r="H112" s="5" t="str">
        <f t="shared" si="1"/>
        <v/>
      </c>
    </row>
    <row r="113" spans="1:8">
      <c r="A113" s="6">
        <v>46055</v>
      </c>
      <c r="B113" s="7" t="s">
        <v>31</v>
      </c>
      <c r="C113" s="8" t="s">
        <v>319</v>
      </c>
      <c r="D113" s="9" t="s">
        <v>320</v>
      </c>
      <c r="E113" s="10">
        <v>-50</v>
      </c>
      <c r="F113" s="11" t="s">
        <v>321</v>
      </c>
      <c r="G113" s="5" t="str">
        <f t="shared" si="0"/>
        <v/>
      </c>
      <c r="H113" s="5">
        <f t="shared" si="1"/>
        <v>-50</v>
      </c>
    </row>
    <row r="114" spans="1:8">
      <c r="A114" s="6">
        <v>46055</v>
      </c>
      <c r="B114" s="7" t="s">
        <v>322</v>
      </c>
      <c r="C114" s="16" t="s">
        <v>323</v>
      </c>
      <c r="D114" s="13" t="s">
        <v>324</v>
      </c>
      <c r="E114" s="13">
        <v>200</v>
      </c>
      <c r="F114" s="14" t="s">
        <v>325</v>
      </c>
      <c r="G114" s="5">
        <f t="shared" si="0"/>
        <v>200</v>
      </c>
      <c r="H114" s="5" t="str">
        <f t="shared" si="1"/>
        <v/>
      </c>
    </row>
    <row r="115" spans="1:8">
      <c r="A115" s="6">
        <v>46052</v>
      </c>
      <c r="B115" s="7" t="s">
        <v>326</v>
      </c>
      <c r="C115" s="8" t="s">
        <v>327</v>
      </c>
      <c r="D115" s="9" t="s">
        <v>328</v>
      </c>
      <c r="E115" s="10">
        <v>-263</v>
      </c>
      <c r="F115" s="11" t="s">
        <v>329</v>
      </c>
      <c r="G115" s="5" t="str">
        <f t="shared" si="0"/>
        <v/>
      </c>
      <c r="H115" s="5">
        <f t="shared" si="1"/>
        <v>-263</v>
      </c>
    </row>
    <row r="116" spans="1:8">
      <c r="A116" s="6">
        <v>46052</v>
      </c>
      <c r="B116" s="7" t="s">
        <v>330</v>
      </c>
      <c r="C116" s="16" t="s">
        <v>331</v>
      </c>
      <c r="D116" s="13" t="s">
        <v>324</v>
      </c>
      <c r="E116" s="13">
        <v>200</v>
      </c>
      <c r="F116" s="14" t="s">
        <v>332</v>
      </c>
      <c r="G116" s="5">
        <f t="shared" si="0"/>
        <v>200</v>
      </c>
      <c r="H116" s="5" t="str">
        <f t="shared" si="1"/>
        <v/>
      </c>
    </row>
    <row r="117" spans="1:8">
      <c r="A117" s="6">
        <v>46051</v>
      </c>
      <c r="B117" s="7" t="s">
        <v>272</v>
      </c>
      <c r="C117" s="8" t="s">
        <v>333</v>
      </c>
      <c r="D117" s="9" t="s">
        <v>334</v>
      </c>
      <c r="E117" s="10">
        <v>-250</v>
      </c>
      <c r="F117" s="11" t="s">
        <v>335</v>
      </c>
      <c r="G117" s="5" t="str">
        <f t="shared" si="0"/>
        <v/>
      </c>
      <c r="H117" s="17">
        <f t="shared" si="1"/>
        <v>-250</v>
      </c>
    </row>
    <row r="118" spans="1:8">
      <c r="A118" s="6">
        <v>46051</v>
      </c>
      <c r="B118" s="7" t="s">
        <v>12</v>
      </c>
      <c r="C118" s="12" t="s">
        <v>336</v>
      </c>
      <c r="D118" s="13" t="s">
        <v>337</v>
      </c>
      <c r="E118" s="13">
        <v>300</v>
      </c>
      <c r="F118" s="14" t="s">
        <v>338</v>
      </c>
      <c r="G118" s="5">
        <f t="shared" si="0"/>
        <v>300</v>
      </c>
      <c r="H118" s="5" t="str">
        <f t="shared" si="1"/>
        <v/>
      </c>
    </row>
    <row r="119" spans="1:8">
      <c r="A119" s="6">
        <v>46050</v>
      </c>
      <c r="B119" s="7" t="s">
        <v>339</v>
      </c>
      <c r="C119" s="12" t="s">
        <v>340</v>
      </c>
      <c r="D119" s="13" t="s">
        <v>341</v>
      </c>
      <c r="E119" s="13">
        <v>3</v>
      </c>
      <c r="F119" s="14" t="s">
        <v>342</v>
      </c>
      <c r="G119" s="5">
        <f t="shared" si="0"/>
        <v>3</v>
      </c>
      <c r="H119" s="5" t="str">
        <f t="shared" si="1"/>
        <v/>
      </c>
    </row>
    <row r="120" spans="1:8">
      <c r="A120" s="6">
        <v>46050</v>
      </c>
      <c r="B120" s="7" t="s">
        <v>44</v>
      </c>
      <c r="C120" s="12" t="s">
        <v>203</v>
      </c>
      <c r="D120" s="13" t="s">
        <v>343</v>
      </c>
      <c r="E120" s="13">
        <v>3</v>
      </c>
      <c r="F120" s="14" t="s">
        <v>344</v>
      </c>
      <c r="G120" s="5">
        <f t="shared" si="0"/>
        <v>3</v>
      </c>
      <c r="H120" s="5" t="str">
        <f t="shared" si="1"/>
        <v/>
      </c>
    </row>
    <row r="121" spans="1:8">
      <c r="A121" s="6">
        <v>46049</v>
      </c>
      <c r="B121" s="7" t="s">
        <v>157</v>
      </c>
      <c r="C121" s="8" t="s">
        <v>158</v>
      </c>
      <c r="D121" s="9" t="s">
        <v>345</v>
      </c>
      <c r="E121" s="10">
        <v>-11.12</v>
      </c>
      <c r="F121" s="11" t="s">
        <v>346</v>
      </c>
      <c r="G121" s="5" t="str">
        <f t="shared" si="0"/>
        <v/>
      </c>
      <c r="H121" s="5">
        <f t="shared" si="1"/>
        <v>-11.12</v>
      </c>
    </row>
    <row r="122" spans="1:8">
      <c r="A122" s="6">
        <v>46049</v>
      </c>
      <c r="B122" s="7" t="s">
        <v>242</v>
      </c>
      <c r="C122" s="8" t="s">
        <v>347</v>
      </c>
      <c r="D122" s="9" t="s">
        <v>348</v>
      </c>
      <c r="E122" s="10">
        <v>-14.35</v>
      </c>
      <c r="F122" s="11" t="s">
        <v>349</v>
      </c>
      <c r="G122" s="5" t="str">
        <f t="shared" si="0"/>
        <v/>
      </c>
      <c r="H122" s="5">
        <f t="shared" si="1"/>
        <v>-14.35</v>
      </c>
    </row>
    <row r="123" spans="1:8">
      <c r="A123" s="6">
        <v>46048</v>
      </c>
      <c r="B123" s="7" t="s">
        <v>350</v>
      </c>
      <c r="C123" s="8" t="s">
        <v>115</v>
      </c>
      <c r="D123" s="9" t="s">
        <v>351</v>
      </c>
      <c r="E123" s="10">
        <v>-4.99</v>
      </c>
      <c r="F123" s="11" t="s">
        <v>352</v>
      </c>
      <c r="G123" s="5" t="str">
        <f t="shared" si="0"/>
        <v/>
      </c>
      <c r="H123" s="5">
        <f t="shared" si="1"/>
        <v>-4.99</v>
      </c>
    </row>
    <row r="124" spans="1:8">
      <c r="A124" s="6">
        <v>46048</v>
      </c>
      <c r="B124" s="7" t="s">
        <v>242</v>
      </c>
      <c r="C124" s="8" t="s">
        <v>347</v>
      </c>
      <c r="D124" s="9" t="s">
        <v>353</v>
      </c>
      <c r="E124" s="10">
        <v>-84.27</v>
      </c>
      <c r="F124" s="11" t="s">
        <v>354</v>
      </c>
      <c r="G124" s="5" t="str">
        <f t="shared" si="0"/>
        <v/>
      </c>
      <c r="H124" s="5">
        <f t="shared" si="1"/>
        <v>-84.27</v>
      </c>
    </row>
    <row r="125" spans="1:8">
      <c r="A125" s="6">
        <v>46047</v>
      </c>
      <c r="B125" s="7" t="s">
        <v>355</v>
      </c>
      <c r="C125" s="8" t="s">
        <v>356</v>
      </c>
      <c r="D125" s="9" t="s">
        <v>357</v>
      </c>
      <c r="E125" s="10">
        <v>-3.6</v>
      </c>
      <c r="F125" s="11" t="s">
        <v>358</v>
      </c>
      <c r="G125" s="5" t="str">
        <f t="shared" si="0"/>
        <v/>
      </c>
      <c r="H125" s="5">
        <f t="shared" si="1"/>
        <v>-3.6</v>
      </c>
    </row>
    <row r="126" spans="1:8">
      <c r="A126" s="6">
        <v>46046</v>
      </c>
      <c r="B126" s="7" t="s">
        <v>12</v>
      </c>
      <c r="C126" s="12" t="s">
        <v>20</v>
      </c>
      <c r="D126" s="13" t="s">
        <v>359</v>
      </c>
      <c r="E126" s="13">
        <v>200</v>
      </c>
      <c r="F126" s="14" t="s">
        <v>360</v>
      </c>
      <c r="G126" s="5">
        <f t="shared" si="0"/>
        <v>200</v>
      </c>
      <c r="H126" s="5" t="str">
        <f t="shared" si="1"/>
        <v/>
      </c>
    </row>
    <row r="127" spans="1:8">
      <c r="A127" s="6">
        <v>46046</v>
      </c>
      <c r="B127" s="7" t="s">
        <v>255</v>
      </c>
      <c r="C127" s="8" t="s">
        <v>361</v>
      </c>
      <c r="D127" s="9" t="s">
        <v>362</v>
      </c>
      <c r="E127" s="10">
        <v>-150</v>
      </c>
      <c r="F127" s="11" t="s">
        <v>363</v>
      </c>
      <c r="G127" s="5" t="str">
        <f t="shared" si="0"/>
        <v/>
      </c>
      <c r="H127" s="5">
        <f t="shared" si="1"/>
        <v>-150</v>
      </c>
    </row>
    <row r="128" spans="1:8">
      <c r="A128" s="6">
        <v>46046</v>
      </c>
      <c r="B128" s="7" t="s">
        <v>364</v>
      </c>
      <c r="C128" s="12" t="s">
        <v>277</v>
      </c>
      <c r="D128" s="13" t="s">
        <v>365</v>
      </c>
      <c r="E128" s="13">
        <v>200</v>
      </c>
      <c r="F128" s="14" t="s">
        <v>366</v>
      </c>
      <c r="G128" s="5">
        <f t="shared" si="0"/>
        <v>200</v>
      </c>
      <c r="H128" s="5" t="str">
        <f t="shared" si="1"/>
        <v/>
      </c>
    </row>
    <row r="129" spans="1:8">
      <c r="A129" s="6">
        <v>46045</v>
      </c>
      <c r="B129" s="7" t="s">
        <v>255</v>
      </c>
      <c r="C129" s="8" t="s">
        <v>367</v>
      </c>
      <c r="D129" s="9" t="s">
        <v>368</v>
      </c>
      <c r="E129" s="10">
        <v>-50</v>
      </c>
      <c r="F129" s="11" t="s">
        <v>369</v>
      </c>
      <c r="G129" s="5" t="str">
        <f t="shared" si="0"/>
        <v/>
      </c>
      <c r="H129" s="5">
        <f t="shared" si="1"/>
        <v>-50</v>
      </c>
    </row>
    <row r="130" spans="1:8">
      <c r="A130" s="6">
        <v>46044</v>
      </c>
      <c r="B130" s="7" t="s">
        <v>255</v>
      </c>
      <c r="C130" s="8" t="s">
        <v>158</v>
      </c>
      <c r="D130" s="9" t="s">
        <v>370</v>
      </c>
      <c r="E130" s="10">
        <v>-50</v>
      </c>
      <c r="F130" s="11" t="s">
        <v>371</v>
      </c>
      <c r="G130" s="5" t="str">
        <f t="shared" si="0"/>
        <v/>
      </c>
      <c r="H130" s="5">
        <f t="shared" si="1"/>
        <v>-50</v>
      </c>
    </row>
    <row r="131" spans="1:8">
      <c r="A131" s="6">
        <v>46044</v>
      </c>
      <c r="B131" s="7" t="s">
        <v>255</v>
      </c>
      <c r="C131" s="8" t="s">
        <v>372</v>
      </c>
      <c r="D131" s="9" t="s">
        <v>373</v>
      </c>
      <c r="E131" s="10">
        <v>-100</v>
      </c>
      <c r="F131" s="11" t="s">
        <v>374</v>
      </c>
      <c r="G131" s="5" t="str">
        <f t="shared" si="0"/>
        <v/>
      </c>
      <c r="H131" s="5">
        <f t="shared" si="1"/>
        <v>-100</v>
      </c>
    </row>
    <row r="132" spans="1:8">
      <c r="A132" s="6">
        <v>46044</v>
      </c>
      <c r="B132" s="7" t="s">
        <v>12</v>
      </c>
      <c r="C132" s="12" t="s">
        <v>20</v>
      </c>
      <c r="D132" s="13" t="s">
        <v>375</v>
      </c>
      <c r="E132" s="13">
        <v>200</v>
      </c>
      <c r="F132" s="14" t="s">
        <v>376</v>
      </c>
      <c r="G132" s="5">
        <f t="shared" si="0"/>
        <v>200</v>
      </c>
      <c r="H132" s="5" t="str">
        <f t="shared" si="1"/>
        <v/>
      </c>
    </row>
    <row r="133" spans="1:8">
      <c r="A133" s="6">
        <v>46041</v>
      </c>
      <c r="B133" s="7" t="s">
        <v>255</v>
      </c>
      <c r="C133" s="8" t="s">
        <v>377</v>
      </c>
      <c r="D133" s="9" t="s">
        <v>378</v>
      </c>
      <c r="E133" s="10">
        <v>-50</v>
      </c>
      <c r="F133" s="11" t="s">
        <v>379</v>
      </c>
      <c r="G133" s="5" t="str">
        <f t="shared" si="0"/>
        <v/>
      </c>
      <c r="H133" s="5">
        <f t="shared" si="1"/>
        <v>-50</v>
      </c>
    </row>
    <row r="134" spans="1:8">
      <c r="A134" s="6">
        <v>46041</v>
      </c>
      <c r="B134" s="7" t="s">
        <v>380</v>
      </c>
      <c r="C134" s="12" t="s">
        <v>277</v>
      </c>
      <c r="D134" s="13" t="s">
        <v>381</v>
      </c>
      <c r="E134" s="13">
        <v>50</v>
      </c>
      <c r="F134" s="14" t="s">
        <v>382</v>
      </c>
      <c r="G134" s="5">
        <f t="shared" si="0"/>
        <v>50</v>
      </c>
      <c r="H134" s="5" t="str">
        <f t="shared" si="1"/>
        <v/>
      </c>
    </row>
    <row r="135" spans="1:8">
      <c r="A135" s="6">
        <v>46041</v>
      </c>
      <c r="B135" s="7" t="s">
        <v>31</v>
      </c>
      <c r="C135" s="8" t="s">
        <v>383</v>
      </c>
      <c r="D135" s="9" t="s">
        <v>384</v>
      </c>
      <c r="E135" s="10">
        <v>-30</v>
      </c>
      <c r="F135" s="11" t="s">
        <v>385</v>
      </c>
      <c r="G135" s="5" t="str">
        <f t="shared" si="0"/>
        <v/>
      </c>
      <c r="H135" s="5">
        <f t="shared" si="1"/>
        <v>-30</v>
      </c>
    </row>
    <row r="136" spans="1:8">
      <c r="A136" s="6">
        <v>46041</v>
      </c>
      <c r="B136" s="7" t="s">
        <v>386</v>
      </c>
      <c r="C136" s="12" t="s">
        <v>277</v>
      </c>
      <c r="D136" s="13" t="s">
        <v>381</v>
      </c>
      <c r="E136" s="13">
        <v>50</v>
      </c>
      <c r="F136" s="14" t="s">
        <v>387</v>
      </c>
      <c r="G136" s="5">
        <f t="shared" si="0"/>
        <v>50</v>
      </c>
      <c r="H136" s="5" t="str">
        <f t="shared" si="1"/>
        <v/>
      </c>
    </row>
    <row r="137" spans="1:8">
      <c r="A137" s="6">
        <v>46041</v>
      </c>
      <c r="B137" s="7" t="s">
        <v>230</v>
      </c>
      <c r="C137" s="12" t="s">
        <v>388</v>
      </c>
      <c r="D137" s="13" t="s">
        <v>389</v>
      </c>
      <c r="E137" s="13">
        <v>3</v>
      </c>
      <c r="F137" s="14" t="s">
        <v>390</v>
      </c>
      <c r="G137" s="5">
        <f t="shared" si="0"/>
        <v>3</v>
      </c>
      <c r="H137" s="5" t="str">
        <f t="shared" si="1"/>
        <v/>
      </c>
    </row>
    <row r="138" spans="1:8">
      <c r="A138" s="6">
        <v>46038</v>
      </c>
      <c r="B138" s="7" t="s">
        <v>272</v>
      </c>
      <c r="C138" s="8" t="s">
        <v>391</v>
      </c>
      <c r="D138" s="9" t="s">
        <v>392</v>
      </c>
      <c r="E138" s="10">
        <v>-100</v>
      </c>
      <c r="F138" s="11" t="s">
        <v>393</v>
      </c>
      <c r="G138" s="5" t="str">
        <f t="shared" si="0"/>
        <v/>
      </c>
      <c r="H138" s="5">
        <f t="shared" si="1"/>
        <v>-100</v>
      </c>
    </row>
    <row r="139" spans="1:8">
      <c r="A139" s="6">
        <v>46038</v>
      </c>
      <c r="B139" s="7" t="s">
        <v>394</v>
      </c>
      <c r="C139" s="12" t="s">
        <v>395</v>
      </c>
      <c r="D139" s="13" t="s">
        <v>396</v>
      </c>
      <c r="E139" s="13">
        <v>100</v>
      </c>
      <c r="F139" s="14" t="s">
        <v>397</v>
      </c>
      <c r="G139" s="5">
        <f t="shared" si="0"/>
        <v>100</v>
      </c>
      <c r="H139" s="5" t="str">
        <f t="shared" si="1"/>
        <v/>
      </c>
    </row>
    <row r="140" spans="1:8">
      <c r="A140" s="6">
        <v>46035</v>
      </c>
      <c r="B140" s="7" t="s">
        <v>398</v>
      </c>
      <c r="C140" s="8" t="s">
        <v>399</v>
      </c>
      <c r="D140" s="9" t="s">
        <v>400</v>
      </c>
      <c r="E140" s="10">
        <v>-20</v>
      </c>
      <c r="F140" s="11" t="s">
        <v>401</v>
      </c>
      <c r="G140" s="5" t="str">
        <f t="shared" si="0"/>
        <v/>
      </c>
      <c r="H140" s="5">
        <f t="shared" si="1"/>
        <v>-20</v>
      </c>
    </row>
    <row r="141" spans="1:8">
      <c r="A141" s="6">
        <v>46035</v>
      </c>
      <c r="B141" s="7" t="s">
        <v>402</v>
      </c>
      <c r="C141" s="12" t="s">
        <v>395</v>
      </c>
      <c r="D141" s="13" t="s">
        <v>403</v>
      </c>
      <c r="E141" s="13">
        <v>50</v>
      </c>
      <c r="F141" s="14" t="s">
        <v>404</v>
      </c>
      <c r="G141" s="5">
        <f t="shared" si="0"/>
        <v>50</v>
      </c>
      <c r="H141" s="5" t="str">
        <f t="shared" si="1"/>
        <v/>
      </c>
    </row>
    <row r="142" spans="1:8">
      <c r="A142" s="6">
        <v>46032</v>
      </c>
      <c r="B142" s="7" t="s">
        <v>65</v>
      </c>
      <c r="C142" s="8" t="s">
        <v>66</v>
      </c>
      <c r="D142" s="9" t="s">
        <v>405</v>
      </c>
      <c r="E142" s="10">
        <v>-25</v>
      </c>
      <c r="F142" s="11" t="s">
        <v>406</v>
      </c>
      <c r="G142" s="5" t="str">
        <f t="shared" si="0"/>
        <v/>
      </c>
      <c r="H142" s="5">
        <f t="shared" si="1"/>
        <v>-25</v>
      </c>
    </row>
    <row r="143" spans="1:8">
      <c r="A143" s="6">
        <v>46031</v>
      </c>
      <c r="B143" s="7" t="s">
        <v>255</v>
      </c>
      <c r="C143" s="8" t="s">
        <v>407</v>
      </c>
      <c r="D143" s="9" t="s">
        <v>408</v>
      </c>
      <c r="E143" s="10">
        <v>-46</v>
      </c>
      <c r="F143" s="11" t="s">
        <v>409</v>
      </c>
      <c r="G143" s="5" t="str">
        <f t="shared" si="0"/>
        <v/>
      </c>
      <c r="H143" s="5">
        <f t="shared" si="1"/>
        <v>-46</v>
      </c>
    </row>
    <row r="144" spans="1:8">
      <c r="A144" s="6">
        <v>46031</v>
      </c>
      <c r="B144" s="7" t="s">
        <v>410</v>
      </c>
      <c r="C144" s="12" t="s">
        <v>411</v>
      </c>
      <c r="D144" s="13" t="s">
        <v>412</v>
      </c>
      <c r="E144" s="13">
        <v>100</v>
      </c>
      <c r="F144" s="14" t="s">
        <v>413</v>
      </c>
      <c r="G144" s="5">
        <f t="shared" si="0"/>
        <v>100</v>
      </c>
      <c r="H144" s="17" t="str">
        <f t="shared" si="1"/>
        <v/>
      </c>
    </row>
    <row r="145" spans="1:8">
      <c r="A145" s="6">
        <v>46028</v>
      </c>
      <c r="B145" s="7" t="s">
        <v>31</v>
      </c>
      <c r="C145" s="8" t="s">
        <v>414</v>
      </c>
      <c r="D145" s="9" t="s">
        <v>299</v>
      </c>
      <c r="E145" s="10">
        <v>-50</v>
      </c>
      <c r="F145" s="11" t="s">
        <v>415</v>
      </c>
      <c r="G145" s="5" t="str">
        <f t="shared" si="0"/>
        <v/>
      </c>
      <c r="H145" s="5">
        <f t="shared" si="1"/>
        <v>-50</v>
      </c>
    </row>
    <row r="146" spans="1:8">
      <c r="A146" s="6">
        <v>46027</v>
      </c>
      <c r="B146" s="7" t="s">
        <v>416</v>
      </c>
      <c r="C146" s="8" t="s">
        <v>417</v>
      </c>
      <c r="D146" s="9" t="s">
        <v>418</v>
      </c>
      <c r="E146" s="10">
        <v>-105</v>
      </c>
      <c r="F146" s="11" t="s">
        <v>419</v>
      </c>
      <c r="G146" s="5" t="str">
        <f t="shared" si="0"/>
        <v/>
      </c>
      <c r="H146" s="5">
        <f t="shared" si="1"/>
        <v>-105</v>
      </c>
    </row>
    <row r="147" spans="1:8">
      <c r="A147" s="6">
        <v>46027</v>
      </c>
      <c r="B147" s="7" t="s">
        <v>420</v>
      </c>
      <c r="C147" s="8" t="s">
        <v>421</v>
      </c>
      <c r="D147" s="9" t="s">
        <v>422</v>
      </c>
      <c r="E147" s="10">
        <v>-19</v>
      </c>
      <c r="F147" s="11" t="s">
        <v>423</v>
      </c>
      <c r="G147" s="5" t="str">
        <f t="shared" si="0"/>
        <v/>
      </c>
      <c r="H147" s="5">
        <f t="shared" si="1"/>
        <v>-19</v>
      </c>
    </row>
    <row r="148" spans="1:8">
      <c r="A148" s="6">
        <v>46027</v>
      </c>
      <c r="B148" s="7" t="s">
        <v>424</v>
      </c>
      <c r="C148" s="8" t="s">
        <v>425</v>
      </c>
      <c r="D148" s="9" t="s">
        <v>426</v>
      </c>
      <c r="E148" s="10">
        <v>-36</v>
      </c>
      <c r="F148" s="11" t="s">
        <v>427</v>
      </c>
      <c r="G148" s="5" t="str">
        <f t="shared" si="0"/>
        <v/>
      </c>
      <c r="H148" s="5">
        <f t="shared" si="1"/>
        <v>-36</v>
      </c>
    </row>
    <row r="149" spans="1:8">
      <c r="A149" s="6">
        <v>46027</v>
      </c>
      <c r="B149" s="7" t="s">
        <v>428</v>
      </c>
      <c r="C149" s="8" t="s">
        <v>429</v>
      </c>
      <c r="D149" s="9" t="s">
        <v>430</v>
      </c>
      <c r="E149" s="10">
        <v>-27</v>
      </c>
      <c r="F149" s="11" t="s">
        <v>431</v>
      </c>
      <c r="G149" s="5" t="str">
        <f t="shared" si="0"/>
        <v/>
      </c>
      <c r="H149" s="5">
        <f t="shared" si="1"/>
        <v>-27</v>
      </c>
    </row>
    <row r="150" spans="1:8">
      <c r="A150" s="6">
        <v>46027</v>
      </c>
      <c r="B150" s="7" t="s">
        <v>432</v>
      </c>
      <c r="C150" s="12" t="s">
        <v>433</v>
      </c>
      <c r="D150" s="13" t="s">
        <v>375</v>
      </c>
      <c r="E150" s="13">
        <v>200</v>
      </c>
      <c r="F150" s="14" t="s">
        <v>434</v>
      </c>
      <c r="G150" s="5">
        <f t="shared" si="0"/>
        <v>200</v>
      </c>
      <c r="H150" s="5" t="str">
        <f t="shared" si="1"/>
        <v/>
      </c>
    </row>
    <row r="151" spans="1:8">
      <c r="A151" s="6">
        <v>46026</v>
      </c>
      <c r="B151" s="7" t="s">
        <v>196</v>
      </c>
      <c r="C151" s="8" t="s">
        <v>435</v>
      </c>
      <c r="D151" s="9" t="s">
        <v>436</v>
      </c>
      <c r="E151" s="10">
        <v>-10</v>
      </c>
      <c r="F151" s="11" t="s">
        <v>437</v>
      </c>
      <c r="G151" s="5" t="str">
        <f t="shared" si="0"/>
        <v/>
      </c>
      <c r="H151" s="5">
        <f t="shared" si="1"/>
        <v>-10</v>
      </c>
    </row>
    <row r="152" spans="1:8">
      <c r="A152" s="6">
        <v>46026</v>
      </c>
      <c r="B152" s="7" t="s">
        <v>31</v>
      </c>
      <c r="C152" s="8" t="s">
        <v>438</v>
      </c>
      <c r="D152" s="9" t="s">
        <v>38</v>
      </c>
      <c r="E152" s="10">
        <v>-40</v>
      </c>
      <c r="F152" s="11" t="s">
        <v>439</v>
      </c>
      <c r="G152" s="5" t="str">
        <f t="shared" si="0"/>
        <v/>
      </c>
      <c r="H152" s="5">
        <f t="shared" si="1"/>
        <v>-40</v>
      </c>
    </row>
    <row r="153" spans="1:8">
      <c r="A153" s="6">
        <v>46024</v>
      </c>
      <c r="B153" s="7" t="s">
        <v>440</v>
      </c>
      <c r="C153" s="8" t="s">
        <v>441</v>
      </c>
      <c r="D153" s="9" t="s">
        <v>442</v>
      </c>
      <c r="E153" s="10">
        <v>-61</v>
      </c>
      <c r="F153" s="11" t="s">
        <v>443</v>
      </c>
      <c r="G153" s="5" t="str">
        <f t="shared" si="0"/>
        <v/>
      </c>
      <c r="H153" s="5">
        <f t="shared" si="1"/>
        <v>-61</v>
      </c>
    </row>
    <row r="154" spans="1:8">
      <c r="A154" s="6">
        <v>46022</v>
      </c>
      <c r="B154" s="7" t="s">
        <v>272</v>
      </c>
      <c r="C154" s="8" t="s">
        <v>444</v>
      </c>
      <c r="D154" s="9" t="s">
        <v>299</v>
      </c>
      <c r="E154" s="10">
        <v>-50</v>
      </c>
      <c r="F154" s="11" t="s">
        <v>445</v>
      </c>
      <c r="G154" s="5" t="str">
        <f t="shared" si="0"/>
        <v/>
      </c>
      <c r="H154" s="5">
        <f t="shared" si="1"/>
        <v>-50</v>
      </c>
    </row>
    <row r="155" spans="1:8">
      <c r="A155" s="6">
        <v>46022</v>
      </c>
      <c r="B155" s="7" t="s">
        <v>16</v>
      </c>
      <c r="C155" s="8" t="s">
        <v>446</v>
      </c>
      <c r="D155" s="9" t="s">
        <v>447</v>
      </c>
      <c r="E155" s="10">
        <v>-10</v>
      </c>
      <c r="F155" s="11" t="s">
        <v>448</v>
      </c>
      <c r="G155" s="5" t="str">
        <f t="shared" si="0"/>
        <v/>
      </c>
      <c r="H155" s="5">
        <f t="shared" si="1"/>
        <v>-10</v>
      </c>
    </row>
    <row r="156" spans="1:8">
      <c r="A156" s="6">
        <v>46021</v>
      </c>
      <c r="B156" s="7" t="s">
        <v>449</v>
      </c>
      <c r="C156" s="8" t="s">
        <v>450</v>
      </c>
      <c r="D156" s="9" t="s">
        <v>451</v>
      </c>
      <c r="E156" s="10">
        <v>-20</v>
      </c>
      <c r="F156" s="11" t="s">
        <v>452</v>
      </c>
      <c r="G156" s="5" t="str">
        <f t="shared" si="0"/>
        <v/>
      </c>
      <c r="H156" s="5">
        <f t="shared" si="1"/>
        <v>-20</v>
      </c>
    </row>
    <row r="157" spans="1:8">
      <c r="A157" s="6">
        <v>46021</v>
      </c>
      <c r="B157" s="7" t="s">
        <v>453</v>
      </c>
      <c r="C157" s="12" t="s">
        <v>454</v>
      </c>
      <c r="D157" s="13" t="s">
        <v>220</v>
      </c>
      <c r="E157" s="13">
        <v>180</v>
      </c>
      <c r="F157" s="14" t="s">
        <v>455</v>
      </c>
      <c r="G157" s="5">
        <f t="shared" si="0"/>
        <v>180</v>
      </c>
      <c r="H157" s="5" t="str">
        <f t="shared" si="1"/>
        <v/>
      </c>
    </row>
    <row r="158" spans="1:8">
      <c r="A158" s="6">
        <v>46018</v>
      </c>
      <c r="B158" s="7" t="s">
        <v>206</v>
      </c>
      <c r="C158" s="12" t="s">
        <v>456</v>
      </c>
      <c r="D158" s="13" t="s">
        <v>341</v>
      </c>
      <c r="E158" s="13">
        <v>3</v>
      </c>
      <c r="F158" s="14" t="s">
        <v>457</v>
      </c>
      <c r="G158" s="5">
        <f t="shared" si="0"/>
        <v>3</v>
      </c>
      <c r="H158" s="5" t="str">
        <f t="shared" si="1"/>
        <v/>
      </c>
    </row>
    <row r="159" spans="1:8">
      <c r="A159" s="6">
        <v>46017</v>
      </c>
      <c r="B159" s="7" t="s">
        <v>196</v>
      </c>
      <c r="C159" s="8" t="s">
        <v>458</v>
      </c>
      <c r="D159" s="9" t="s">
        <v>459</v>
      </c>
      <c r="E159" s="10">
        <v>-9</v>
      </c>
      <c r="F159" s="11" t="s">
        <v>460</v>
      </c>
      <c r="G159" s="5" t="str">
        <f t="shared" si="0"/>
        <v/>
      </c>
      <c r="H159" s="5">
        <f t="shared" si="1"/>
        <v>-9</v>
      </c>
    </row>
    <row r="160" spans="1:8">
      <c r="A160" s="6">
        <v>46016</v>
      </c>
      <c r="B160" s="7" t="s">
        <v>255</v>
      </c>
      <c r="C160" s="8" t="s">
        <v>461</v>
      </c>
      <c r="D160" s="9" t="s">
        <v>462</v>
      </c>
      <c r="E160" s="10">
        <v>-200</v>
      </c>
      <c r="F160" s="11" t="s">
        <v>463</v>
      </c>
      <c r="G160" s="5" t="str">
        <f t="shared" si="0"/>
        <v/>
      </c>
      <c r="H160" s="5">
        <f t="shared" si="1"/>
        <v>-200</v>
      </c>
    </row>
    <row r="161" spans="1:8">
      <c r="A161" s="6">
        <v>46015</v>
      </c>
      <c r="B161" s="7" t="s">
        <v>464</v>
      </c>
      <c r="C161" s="12" t="s">
        <v>465</v>
      </c>
      <c r="D161" s="13" t="s">
        <v>220</v>
      </c>
      <c r="E161" s="13">
        <v>200</v>
      </c>
      <c r="F161" s="14" t="s">
        <v>466</v>
      </c>
      <c r="G161" s="5">
        <f t="shared" si="0"/>
        <v>200</v>
      </c>
      <c r="H161" s="5" t="str">
        <f t="shared" si="1"/>
        <v/>
      </c>
    </row>
    <row r="162" spans="1:8">
      <c r="A162" s="6">
        <v>46015</v>
      </c>
      <c r="B162" s="7" t="s">
        <v>31</v>
      </c>
      <c r="C162" s="8" t="s">
        <v>467</v>
      </c>
      <c r="D162" s="9" t="s">
        <v>468</v>
      </c>
      <c r="E162" s="10">
        <v>-150</v>
      </c>
      <c r="F162" s="11" t="s">
        <v>469</v>
      </c>
      <c r="G162" s="5" t="str">
        <f t="shared" si="0"/>
        <v/>
      </c>
      <c r="H162" s="5">
        <f t="shared" si="1"/>
        <v>-150</v>
      </c>
    </row>
    <row r="163" spans="1:8">
      <c r="A163" s="6">
        <v>46015</v>
      </c>
      <c r="B163" s="7" t="s">
        <v>16</v>
      </c>
      <c r="C163" s="8" t="s">
        <v>470</v>
      </c>
      <c r="D163" s="9" t="s">
        <v>471</v>
      </c>
      <c r="E163" s="10">
        <v>-100</v>
      </c>
      <c r="F163" s="11" t="s">
        <v>472</v>
      </c>
      <c r="G163" s="5" t="str">
        <f t="shared" si="0"/>
        <v/>
      </c>
      <c r="H163" s="5">
        <f t="shared" si="1"/>
        <v>-100</v>
      </c>
    </row>
    <row r="164" spans="1:8">
      <c r="A164" s="6">
        <v>46014</v>
      </c>
      <c r="B164" s="7" t="s">
        <v>272</v>
      </c>
      <c r="C164" s="8" t="s">
        <v>473</v>
      </c>
      <c r="D164" s="9" t="s">
        <v>471</v>
      </c>
      <c r="E164" s="10">
        <v>-100</v>
      </c>
      <c r="F164" s="11" t="s">
        <v>474</v>
      </c>
      <c r="G164" s="5" t="str">
        <f t="shared" si="0"/>
        <v/>
      </c>
      <c r="H164" s="5">
        <f t="shared" si="1"/>
        <v>-100</v>
      </c>
    </row>
    <row r="165" spans="1:8">
      <c r="A165" s="6">
        <v>46013</v>
      </c>
      <c r="B165" s="7" t="s">
        <v>31</v>
      </c>
      <c r="C165" s="8" t="s">
        <v>383</v>
      </c>
      <c r="D165" s="9" t="s">
        <v>475</v>
      </c>
      <c r="E165" s="10">
        <v>-50</v>
      </c>
      <c r="F165" s="11" t="s">
        <v>476</v>
      </c>
      <c r="G165" s="5" t="str">
        <f t="shared" si="0"/>
        <v/>
      </c>
      <c r="H165" s="17">
        <f t="shared" si="1"/>
        <v>-50</v>
      </c>
    </row>
    <row r="166" spans="1:8">
      <c r="A166" s="6">
        <v>46013</v>
      </c>
      <c r="B166" s="7" t="s">
        <v>477</v>
      </c>
      <c r="C166" s="8" t="s">
        <v>478</v>
      </c>
      <c r="D166" s="9" t="s">
        <v>479</v>
      </c>
      <c r="E166" s="10">
        <v>-1.2</v>
      </c>
      <c r="F166" s="11" t="s">
        <v>480</v>
      </c>
      <c r="G166" s="5" t="str">
        <f t="shared" si="0"/>
        <v/>
      </c>
      <c r="H166" s="5">
        <f t="shared" si="1"/>
        <v>-1.2</v>
      </c>
    </row>
    <row r="167" spans="1:8">
      <c r="A167" s="6">
        <v>46013</v>
      </c>
      <c r="B167" s="7" t="s">
        <v>481</v>
      </c>
      <c r="C167" s="8" t="s">
        <v>482</v>
      </c>
      <c r="D167" s="9" t="s">
        <v>483</v>
      </c>
      <c r="E167" s="10">
        <v>-10</v>
      </c>
      <c r="F167" s="11" t="s">
        <v>484</v>
      </c>
      <c r="G167" s="5" t="str">
        <f t="shared" si="0"/>
        <v/>
      </c>
      <c r="H167" s="5">
        <f t="shared" si="1"/>
        <v>-10</v>
      </c>
    </row>
    <row r="168" spans="1:8">
      <c r="A168" s="6">
        <v>46013</v>
      </c>
      <c r="B168" s="7" t="s">
        <v>485</v>
      </c>
      <c r="C168" s="8" t="s">
        <v>486</v>
      </c>
      <c r="D168" s="9" t="s">
        <v>487</v>
      </c>
      <c r="E168" s="10">
        <v>-66</v>
      </c>
      <c r="F168" s="11" t="s">
        <v>488</v>
      </c>
      <c r="G168" s="5" t="str">
        <f t="shared" si="0"/>
        <v/>
      </c>
      <c r="H168" s="5">
        <f t="shared" si="1"/>
        <v>-66</v>
      </c>
    </row>
    <row r="169" spans="1:8">
      <c r="A169" s="6">
        <v>46013</v>
      </c>
      <c r="B169" s="7" t="s">
        <v>489</v>
      </c>
      <c r="C169" s="8" t="s">
        <v>490</v>
      </c>
      <c r="D169" s="9" t="s">
        <v>491</v>
      </c>
      <c r="E169" s="10">
        <v>-460</v>
      </c>
      <c r="F169" s="11" t="s">
        <v>492</v>
      </c>
      <c r="G169" s="5" t="str">
        <f t="shared" si="0"/>
        <v/>
      </c>
      <c r="H169" s="5">
        <f t="shared" si="1"/>
        <v>-460</v>
      </c>
    </row>
    <row r="170" spans="1:8">
      <c r="A170" s="6">
        <v>46013</v>
      </c>
      <c r="B170" s="7" t="s">
        <v>493</v>
      </c>
      <c r="C170" s="12" t="s">
        <v>494</v>
      </c>
      <c r="D170" s="13" t="s">
        <v>495</v>
      </c>
      <c r="E170" s="13">
        <v>400</v>
      </c>
      <c r="F170" s="14" t="s">
        <v>496</v>
      </c>
      <c r="G170" s="5">
        <f t="shared" si="0"/>
        <v>400</v>
      </c>
      <c r="H170" s="5" t="str">
        <f t="shared" si="1"/>
        <v/>
      </c>
    </row>
    <row r="171" spans="1:8">
      <c r="A171" s="6">
        <v>46012</v>
      </c>
      <c r="B171" s="7" t="s">
        <v>497</v>
      </c>
      <c r="C171" s="12" t="s">
        <v>498</v>
      </c>
      <c r="D171" s="13" t="s">
        <v>499</v>
      </c>
      <c r="E171" s="13">
        <v>500</v>
      </c>
      <c r="F171" s="14" t="s">
        <v>500</v>
      </c>
      <c r="G171" s="5">
        <f t="shared" si="0"/>
        <v>500</v>
      </c>
      <c r="H171" s="5" t="str">
        <f t="shared" si="1"/>
        <v/>
      </c>
    </row>
    <row r="172" spans="1:8">
      <c r="A172" s="6">
        <v>46013</v>
      </c>
      <c r="B172" s="7" t="s">
        <v>501</v>
      </c>
      <c r="C172" s="8" t="s">
        <v>502</v>
      </c>
      <c r="D172" s="9" t="s">
        <v>503</v>
      </c>
      <c r="E172" s="10">
        <v>-3.5</v>
      </c>
      <c r="F172" s="11" t="s">
        <v>504</v>
      </c>
      <c r="G172" s="5" t="str">
        <f t="shared" si="0"/>
        <v/>
      </c>
      <c r="H172" s="5">
        <f t="shared" si="1"/>
        <v>-3.5</v>
      </c>
    </row>
    <row r="173" spans="1:8">
      <c r="A173" s="6">
        <v>46012</v>
      </c>
      <c r="B173" s="7" t="s">
        <v>505</v>
      </c>
      <c r="C173" s="8" t="s">
        <v>506</v>
      </c>
      <c r="D173" s="9" t="s">
        <v>507</v>
      </c>
      <c r="E173" s="10">
        <v>-28</v>
      </c>
      <c r="F173" s="11" t="s">
        <v>508</v>
      </c>
      <c r="G173" s="5" t="str">
        <f t="shared" si="0"/>
        <v/>
      </c>
      <c r="H173" s="5">
        <f t="shared" si="1"/>
        <v>-28</v>
      </c>
    </row>
    <row r="174" spans="1:8">
      <c r="A174" s="6">
        <v>46010</v>
      </c>
      <c r="B174" s="7" t="s">
        <v>44</v>
      </c>
      <c r="C174" s="12" t="s">
        <v>509</v>
      </c>
      <c r="D174" s="13" t="s">
        <v>510</v>
      </c>
      <c r="E174" s="13">
        <v>3</v>
      </c>
      <c r="F174" s="14" t="s">
        <v>511</v>
      </c>
      <c r="G174" s="5">
        <f t="shared" si="0"/>
        <v>3</v>
      </c>
      <c r="H174" s="5" t="str">
        <f t="shared" si="1"/>
        <v/>
      </c>
    </row>
    <row r="175" spans="1:8">
      <c r="A175" s="6">
        <v>46009</v>
      </c>
      <c r="B175" s="7" t="s">
        <v>230</v>
      </c>
      <c r="C175" s="12" t="s">
        <v>512</v>
      </c>
      <c r="D175" s="13" t="s">
        <v>513</v>
      </c>
      <c r="E175" s="13">
        <v>3</v>
      </c>
      <c r="F175" s="14" t="s">
        <v>514</v>
      </c>
      <c r="G175" s="5">
        <f t="shared" si="0"/>
        <v>3</v>
      </c>
      <c r="H175" s="5" t="str">
        <f t="shared" si="1"/>
        <v/>
      </c>
    </row>
    <row r="176" spans="1:8">
      <c r="A176" s="6">
        <v>46008</v>
      </c>
      <c r="B176" s="7" t="s">
        <v>92</v>
      </c>
      <c r="C176" s="8" t="s">
        <v>515</v>
      </c>
      <c r="D176" s="9" t="s">
        <v>124</v>
      </c>
      <c r="E176" s="10">
        <v>-30</v>
      </c>
      <c r="F176" s="11" t="s">
        <v>516</v>
      </c>
      <c r="G176" s="5" t="str">
        <f t="shared" si="0"/>
        <v/>
      </c>
      <c r="H176" s="5">
        <f t="shared" si="1"/>
        <v>-30</v>
      </c>
    </row>
    <row r="177" spans="1:8">
      <c r="A177" s="6">
        <v>46008</v>
      </c>
      <c r="B177" s="7" t="s">
        <v>255</v>
      </c>
      <c r="C177" s="8" t="s">
        <v>517</v>
      </c>
      <c r="D177" s="9" t="s">
        <v>518</v>
      </c>
      <c r="E177" s="10">
        <v>-100</v>
      </c>
      <c r="F177" s="11" t="s">
        <v>519</v>
      </c>
      <c r="G177" s="5" t="str">
        <f t="shared" si="0"/>
        <v/>
      </c>
      <c r="H177" s="5">
        <f t="shared" si="1"/>
        <v>-100</v>
      </c>
    </row>
    <row r="178" spans="1:8">
      <c r="A178" s="6">
        <v>46008</v>
      </c>
      <c r="B178" s="7" t="s">
        <v>520</v>
      </c>
      <c r="C178" s="12" t="s">
        <v>521</v>
      </c>
      <c r="D178" s="13" t="s">
        <v>522</v>
      </c>
      <c r="E178" s="13">
        <v>70</v>
      </c>
      <c r="F178" s="14" t="s">
        <v>523</v>
      </c>
      <c r="G178" s="5">
        <f t="shared" si="0"/>
        <v>70</v>
      </c>
      <c r="H178" s="5" t="str">
        <f t="shared" si="1"/>
        <v/>
      </c>
    </row>
    <row r="179" spans="1:8">
      <c r="A179" s="6">
        <v>46007</v>
      </c>
      <c r="B179" s="7" t="s">
        <v>255</v>
      </c>
      <c r="C179" s="8" t="s">
        <v>524</v>
      </c>
      <c r="D179" s="9" t="s">
        <v>518</v>
      </c>
      <c r="E179" s="10">
        <v>-100</v>
      </c>
      <c r="F179" s="11" t="s">
        <v>525</v>
      </c>
      <c r="G179" s="5" t="str">
        <f t="shared" si="0"/>
        <v/>
      </c>
      <c r="H179" s="5">
        <f t="shared" si="1"/>
        <v>-100</v>
      </c>
    </row>
    <row r="180" spans="1:8">
      <c r="A180" s="6">
        <v>46007</v>
      </c>
      <c r="B180" s="7" t="s">
        <v>526</v>
      </c>
      <c r="C180" s="8" t="s">
        <v>527</v>
      </c>
      <c r="D180" s="9" t="s">
        <v>528</v>
      </c>
      <c r="E180" s="10">
        <v>-7</v>
      </c>
      <c r="F180" s="11" t="s">
        <v>529</v>
      </c>
      <c r="G180" s="5" t="str">
        <f t="shared" si="0"/>
        <v/>
      </c>
      <c r="H180" s="5">
        <f t="shared" si="1"/>
        <v>-7</v>
      </c>
    </row>
    <row r="181" spans="1:8">
      <c r="A181" s="6">
        <v>46007</v>
      </c>
      <c r="B181" s="7" t="s">
        <v>530</v>
      </c>
      <c r="C181" s="8" t="s">
        <v>531</v>
      </c>
      <c r="D181" s="9" t="s">
        <v>532</v>
      </c>
      <c r="E181" s="10">
        <v>-160</v>
      </c>
      <c r="F181" s="11" t="s">
        <v>533</v>
      </c>
      <c r="G181" s="5" t="str">
        <f t="shared" si="0"/>
        <v/>
      </c>
      <c r="H181" s="5">
        <f t="shared" si="1"/>
        <v>-160</v>
      </c>
    </row>
    <row r="182" spans="1:8">
      <c r="A182" s="6">
        <v>46007</v>
      </c>
      <c r="B182" s="7" t="s">
        <v>534</v>
      </c>
      <c r="C182" s="8" t="s">
        <v>535</v>
      </c>
      <c r="D182" s="9" t="s">
        <v>536</v>
      </c>
      <c r="E182" s="10">
        <v>-19</v>
      </c>
      <c r="F182" s="11" t="s">
        <v>537</v>
      </c>
      <c r="G182" s="5" t="str">
        <f t="shared" si="0"/>
        <v/>
      </c>
      <c r="H182" s="5">
        <f t="shared" si="1"/>
        <v>-19</v>
      </c>
    </row>
    <row r="183" spans="1:8">
      <c r="A183" s="6">
        <v>46007</v>
      </c>
      <c r="B183" s="7" t="s">
        <v>538</v>
      </c>
      <c r="C183" s="8" t="s">
        <v>539</v>
      </c>
      <c r="D183" s="9" t="s">
        <v>540</v>
      </c>
      <c r="E183" s="10">
        <v>-20</v>
      </c>
      <c r="F183" s="11" t="s">
        <v>541</v>
      </c>
      <c r="G183" s="5" t="str">
        <f t="shared" si="0"/>
        <v/>
      </c>
      <c r="H183" s="5">
        <f t="shared" si="1"/>
        <v>-20</v>
      </c>
    </row>
    <row r="184" spans="1:8">
      <c r="A184" s="6">
        <v>46007</v>
      </c>
      <c r="B184" s="7" t="s">
        <v>534</v>
      </c>
      <c r="C184" s="8" t="s">
        <v>542</v>
      </c>
      <c r="D184" s="9" t="s">
        <v>543</v>
      </c>
      <c r="E184" s="10">
        <v>-15</v>
      </c>
      <c r="F184" s="11" t="s">
        <v>544</v>
      </c>
      <c r="G184" s="5" t="str">
        <f t="shared" si="0"/>
        <v/>
      </c>
      <c r="H184" s="5">
        <f t="shared" si="1"/>
        <v>-15</v>
      </c>
    </row>
    <row r="185" spans="1:8">
      <c r="A185" s="6">
        <v>46006</v>
      </c>
      <c r="B185" s="7" t="s">
        <v>530</v>
      </c>
      <c r="C185" s="8" t="s">
        <v>545</v>
      </c>
      <c r="D185" s="9" t="s">
        <v>546</v>
      </c>
      <c r="E185" s="10">
        <v>-50</v>
      </c>
      <c r="F185" s="11" t="s">
        <v>547</v>
      </c>
      <c r="G185" s="5" t="str">
        <f t="shared" si="0"/>
        <v/>
      </c>
      <c r="H185" s="5">
        <f t="shared" si="1"/>
        <v>-50</v>
      </c>
    </row>
    <row r="186" spans="1:8">
      <c r="A186" s="6">
        <v>46006</v>
      </c>
      <c r="B186" s="7" t="s">
        <v>161</v>
      </c>
      <c r="C186" s="8" t="s">
        <v>548</v>
      </c>
      <c r="D186" s="9" t="s">
        <v>549</v>
      </c>
      <c r="E186" s="10">
        <v>-350</v>
      </c>
      <c r="F186" s="11" t="s">
        <v>550</v>
      </c>
      <c r="G186" s="5" t="str">
        <f t="shared" si="0"/>
        <v/>
      </c>
      <c r="H186" s="5">
        <f t="shared" si="1"/>
        <v>-350</v>
      </c>
    </row>
    <row r="187" spans="1:8">
      <c r="A187" s="6">
        <v>46006</v>
      </c>
      <c r="B187" s="7" t="s">
        <v>551</v>
      </c>
      <c r="C187" s="12" t="s">
        <v>277</v>
      </c>
      <c r="D187" s="13" t="s">
        <v>552</v>
      </c>
      <c r="E187" s="13">
        <v>50</v>
      </c>
      <c r="F187" s="14" t="s">
        <v>553</v>
      </c>
      <c r="G187" s="5">
        <f t="shared" si="0"/>
        <v>50</v>
      </c>
      <c r="H187" s="5" t="str">
        <f t="shared" si="1"/>
        <v/>
      </c>
    </row>
    <row r="188" spans="1:8">
      <c r="A188" s="6">
        <v>46006</v>
      </c>
      <c r="B188" s="7" t="s">
        <v>554</v>
      </c>
      <c r="C188" s="12" t="s">
        <v>20</v>
      </c>
      <c r="D188" s="13" t="s">
        <v>555</v>
      </c>
      <c r="E188" s="13">
        <v>400</v>
      </c>
      <c r="F188" s="14" t="s">
        <v>556</v>
      </c>
      <c r="G188" s="5">
        <f t="shared" si="0"/>
        <v>400</v>
      </c>
      <c r="H188" s="5" t="str">
        <f t="shared" si="1"/>
        <v/>
      </c>
    </row>
    <row r="189" spans="1:8">
      <c r="A189" s="6">
        <v>46002</v>
      </c>
      <c r="B189" s="7" t="s">
        <v>285</v>
      </c>
      <c r="C189" s="12" t="s">
        <v>557</v>
      </c>
      <c r="D189" s="13" t="s">
        <v>558</v>
      </c>
      <c r="E189" s="13">
        <v>3</v>
      </c>
      <c r="F189" s="14" t="s">
        <v>559</v>
      </c>
      <c r="G189" s="5">
        <f t="shared" si="0"/>
        <v>3</v>
      </c>
      <c r="H189" s="5" t="str">
        <f t="shared" si="1"/>
        <v/>
      </c>
    </row>
    <row r="190" spans="1:8">
      <c r="A190" s="6">
        <v>46000</v>
      </c>
      <c r="B190" s="7" t="s">
        <v>255</v>
      </c>
      <c r="C190" s="8" t="s">
        <v>560</v>
      </c>
      <c r="D190" s="9" t="s">
        <v>84</v>
      </c>
      <c r="E190" s="10">
        <v>-100</v>
      </c>
      <c r="F190" s="11" t="s">
        <v>561</v>
      </c>
      <c r="G190" s="5" t="str">
        <f t="shared" si="0"/>
        <v/>
      </c>
      <c r="H190" s="5">
        <f t="shared" si="1"/>
        <v>-100</v>
      </c>
    </row>
    <row r="191" spans="1:8">
      <c r="A191" s="6">
        <v>45999</v>
      </c>
      <c r="B191" s="7" t="s">
        <v>562</v>
      </c>
      <c r="C191" s="8" t="s">
        <v>563</v>
      </c>
      <c r="D191" s="9" t="s">
        <v>564</v>
      </c>
      <c r="E191" s="10">
        <v>-70</v>
      </c>
      <c r="F191" s="11" t="s">
        <v>565</v>
      </c>
      <c r="G191" s="5" t="str">
        <f t="shared" si="0"/>
        <v/>
      </c>
      <c r="H191" s="5">
        <f t="shared" si="1"/>
        <v>-70</v>
      </c>
    </row>
    <row r="192" spans="1:8">
      <c r="A192" s="6">
        <v>45999</v>
      </c>
      <c r="B192" s="7" t="s">
        <v>566</v>
      </c>
      <c r="C192" s="12" t="s">
        <v>521</v>
      </c>
      <c r="D192" s="13" t="s">
        <v>567</v>
      </c>
      <c r="E192" s="13">
        <v>170</v>
      </c>
      <c r="F192" s="14" t="s">
        <v>568</v>
      </c>
      <c r="G192" s="5">
        <f t="shared" si="0"/>
        <v>170</v>
      </c>
      <c r="H192" s="5" t="str">
        <f t="shared" si="1"/>
        <v/>
      </c>
    </row>
    <row r="193" spans="1:8">
      <c r="A193" s="6">
        <v>45996</v>
      </c>
      <c r="B193" s="7" t="s">
        <v>65</v>
      </c>
      <c r="C193" s="8" t="s">
        <v>569</v>
      </c>
      <c r="D193" s="9" t="s">
        <v>570</v>
      </c>
      <c r="E193" s="10">
        <v>-22.99</v>
      </c>
      <c r="F193" s="11" t="s">
        <v>571</v>
      </c>
      <c r="G193" s="5" t="str">
        <f t="shared" si="0"/>
        <v/>
      </c>
      <c r="H193" s="5">
        <f t="shared" si="1"/>
        <v>-22.99</v>
      </c>
    </row>
    <row r="194" spans="1:8">
      <c r="A194" s="6">
        <v>45996</v>
      </c>
      <c r="B194" s="7" t="s">
        <v>572</v>
      </c>
      <c r="C194" s="18" t="s">
        <v>573</v>
      </c>
      <c r="D194" s="19" t="s">
        <v>574</v>
      </c>
      <c r="E194" s="19">
        <v>52</v>
      </c>
      <c r="F194" s="11" t="s">
        <v>575</v>
      </c>
      <c r="G194" s="5">
        <f t="shared" si="0"/>
        <v>52</v>
      </c>
      <c r="H194" s="5" t="str">
        <f t="shared" si="1"/>
        <v/>
      </c>
    </row>
    <row r="195" spans="1:8">
      <c r="A195" s="6">
        <v>45991</v>
      </c>
      <c r="B195" s="7" t="s">
        <v>70</v>
      </c>
      <c r="C195" s="12" t="s">
        <v>576</v>
      </c>
      <c r="D195" s="13" t="s">
        <v>341</v>
      </c>
      <c r="E195" s="13">
        <v>6</v>
      </c>
      <c r="F195" s="14" t="s">
        <v>577</v>
      </c>
      <c r="G195" s="5">
        <f t="shared" si="0"/>
        <v>6</v>
      </c>
      <c r="H195" s="5" t="str">
        <f t="shared" si="1"/>
        <v/>
      </c>
    </row>
    <row r="196" spans="1:8">
      <c r="A196" s="6">
        <v>45990</v>
      </c>
      <c r="B196" s="7" t="s">
        <v>16</v>
      </c>
      <c r="C196" s="8" t="s">
        <v>578</v>
      </c>
      <c r="D196" s="9" t="s">
        <v>186</v>
      </c>
      <c r="E196" s="9">
        <v>-70</v>
      </c>
      <c r="F196" s="14" t="s">
        <v>579</v>
      </c>
      <c r="G196" s="5" t="str">
        <f t="shared" si="0"/>
        <v/>
      </c>
      <c r="H196" s="5">
        <f t="shared" si="1"/>
        <v>-70</v>
      </c>
    </row>
    <row r="197" spans="1:8">
      <c r="A197" s="6">
        <v>45990</v>
      </c>
      <c r="B197" s="7" t="s">
        <v>12</v>
      </c>
      <c r="C197" s="20" t="s">
        <v>580</v>
      </c>
      <c r="D197" s="21" t="s">
        <v>581</v>
      </c>
      <c r="E197" s="21">
        <v>100</v>
      </c>
      <c r="F197" s="14" t="s">
        <v>582</v>
      </c>
      <c r="G197" s="5">
        <f t="shared" si="0"/>
        <v>100</v>
      </c>
      <c r="H197" s="5" t="str">
        <f t="shared" si="1"/>
        <v/>
      </c>
    </row>
    <row r="198" spans="1:8">
      <c r="A198" s="6">
        <v>45986</v>
      </c>
      <c r="B198" s="7" t="s">
        <v>44</v>
      </c>
      <c r="C198" s="12" t="s">
        <v>583</v>
      </c>
      <c r="D198" s="13" t="s">
        <v>584</v>
      </c>
      <c r="E198" s="22">
        <v>3</v>
      </c>
      <c r="F198" s="11" t="s">
        <v>585</v>
      </c>
      <c r="G198" s="5">
        <f t="shared" si="0"/>
        <v>3</v>
      </c>
      <c r="H198" s="5" t="str">
        <f t="shared" si="1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H198"/>
  <sheetViews>
    <sheetView tabSelected="1" topLeftCell="A191" workbookViewId="0">
      <selection activeCell="F1" sqref="F1:F1048576"/>
    </sheetView>
  </sheetViews>
  <sheetFormatPr baseColWidth="10" defaultColWidth="12.5703125" defaultRowHeight="15.75" customHeight="1"/>
  <cols>
    <col min="3" max="3" width="30.42578125" customWidth="1"/>
    <col min="4" max="4" width="12.5703125" hidden="1"/>
    <col min="6" max="6" width="0" hidden="1" customWidth="1"/>
    <col min="7" max="7" width="9.5703125" customWidth="1"/>
  </cols>
  <sheetData>
    <row r="1" spans="1:8" ht="14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5" t="s">
        <v>7</v>
      </c>
    </row>
    <row r="2" spans="1:8" ht="14.25">
      <c r="A2" s="6">
        <v>46007</v>
      </c>
      <c r="B2" s="7" t="s">
        <v>534</v>
      </c>
      <c r="C2" s="8" t="s">
        <v>542</v>
      </c>
      <c r="D2" s="9" t="s">
        <v>543</v>
      </c>
      <c r="E2" s="10">
        <v>-15</v>
      </c>
      <c r="F2" s="11" t="s">
        <v>544</v>
      </c>
      <c r="G2" s="5" t="str">
        <f>IF(E2&gt;=0, E2, "")</f>
        <v/>
      </c>
      <c r="H2" s="37">
        <f>IF(E2&lt;0, E2, "")</f>
        <v>-15</v>
      </c>
    </row>
    <row r="3" spans="1:8" hidden="1">
      <c r="A3" s="6">
        <v>46155</v>
      </c>
      <c r="B3" s="7" t="s">
        <v>12</v>
      </c>
      <c r="C3" s="12" t="s">
        <v>13</v>
      </c>
      <c r="D3" s="13" t="s">
        <v>14</v>
      </c>
      <c r="E3" s="13">
        <v>50</v>
      </c>
      <c r="F3" s="14" t="s">
        <v>15</v>
      </c>
      <c r="G3" s="5">
        <f>IF(E3&gt;=0, E3, "")</f>
        <v>50</v>
      </c>
      <c r="H3" s="5" t="str">
        <f>IF(E3&lt;0, E3, "")</f>
        <v/>
      </c>
    </row>
    <row r="4" spans="1:8" ht="14.25">
      <c r="A4" s="6">
        <v>46007</v>
      </c>
      <c r="B4" s="7" t="s">
        <v>534</v>
      </c>
      <c r="C4" s="8" t="s">
        <v>535</v>
      </c>
      <c r="D4" s="9" t="s">
        <v>536</v>
      </c>
      <c r="E4" s="10">
        <v>-19</v>
      </c>
      <c r="F4" s="11" t="s">
        <v>537</v>
      </c>
      <c r="G4" s="5" t="str">
        <f>IF(E4&gt;=0, E4, "")</f>
        <v/>
      </c>
      <c r="H4" s="37">
        <f>IF(E4&lt;0, E4, "")</f>
        <v>-19</v>
      </c>
    </row>
    <row r="5" spans="1:8" hidden="1">
      <c r="A5" s="6">
        <v>46150</v>
      </c>
      <c r="B5" s="7" t="s">
        <v>12</v>
      </c>
      <c r="C5" s="12" t="s">
        <v>20</v>
      </c>
      <c r="D5" s="13" t="s">
        <v>21</v>
      </c>
      <c r="E5" s="13">
        <v>50</v>
      </c>
      <c r="F5" s="14" t="s">
        <v>22</v>
      </c>
      <c r="G5" s="5">
        <f>IF(E5&gt;=0, E5, "")</f>
        <v>50</v>
      </c>
      <c r="H5" s="5" t="str">
        <f>IF(E5&lt;0, E5, "")</f>
        <v/>
      </c>
    </row>
    <row r="6" spans="1:8" hidden="1">
      <c r="A6" s="6">
        <v>46147</v>
      </c>
      <c r="B6" s="7" t="s">
        <v>23</v>
      </c>
      <c r="C6" s="12" t="s">
        <v>24</v>
      </c>
      <c r="D6" s="13" t="s">
        <v>25</v>
      </c>
      <c r="E6" s="13">
        <v>12</v>
      </c>
      <c r="F6" s="14" t="s">
        <v>26</v>
      </c>
      <c r="G6" s="5">
        <f>IF(E6&gt;=0, E6, "")</f>
        <v>12</v>
      </c>
      <c r="H6" s="5" t="str">
        <f>IF(E6&lt;0, E6, "")</f>
        <v/>
      </c>
    </row>
    <row r="7" spans="1:8" ht="14.25">
      <c r="A7" s="6">
        <v>46006</v>
      </c>
      <c r="B7" s="7" t="s">
        <v>530</v>
      </c>
      <c r="C7" s="8" t="s">
        <v>545</v>
      </c>
      <c r="D7" s="9" t="s">
        <v>546</v>
      </c>
      <c r="E7" s="10">
        <v>-50</v>
      </c>
      <c r="F7" s="11" t="s">
        <v>547</v>
      </c>
      <c r="G7" s="5" t="str">
        <f>IF(E7&gt;=0, E7, "")</f>
        <v/>
      </c>
      <c r="H7" s="37">
        <f>IF(E7&lt;0, E7, "")</f>
        <v>-50</v>
      </c>
    </row>
    <row r="8" spans="1:8" hidden="1">
      <c r="A8" s="6">
        <v>46147</v>
      </c>
      <c r="B8" s="7" t="s">
        <v>12</v>
      </c>
      <c r="C8" s="12" t="s">
        <v>20</v>
      </c>
      <c r="D8" s="13" t="s">
        <v>21</v>
      </c>
      <c r="E8" s="13">
        <v>50</v>
      </c>
      <c r="F8" s="14" t="s">
        <v>30</v>
      </c>
      <c r="G8" s="5">
        <f>IF(E8&gt;=0, E8, "")</f>
        <v>50</v>
      </c>
      <c r="H8" s="5" t="str">
        <f>IF(E8&lt;0, E8, "")</f>
        <v/>
      </c>
    </row>
    <row r="9" spans="1:8" ht="14.25">
      <c r="A9" s="6">
        <v>46007</v>
      </c>
      <c r="B9" s="7" t="s">
        <v>526</v>
      </c>
      <c r="C9" s="8" t="s">
        <v>527</v>
      </c>
      <c r="D9" s="9" t="s">
        <v>528</v>
      </c>
      <c r="E9" s="10">
        <v>-7</v>
      </c>
      <c r="F9" s="11" t="s">
        <v>529</v>
      </c>
      <c r="G9" s="5" t="str">
        <f>IF(E9&gt;=0, E9, "")</f>
        <v/>
      </c>
      <c r="H9" s="37">
        <f>IF(E9&lt;0, E9, "")</f>
        <v>-7</v>
      </c>
    </row>
    <row r="10" spans="1:8" hidden="1">
      <c r="A10" s="6">
        <v>46143</v>
      </c>
      <c r="B10" s="7" t="s">
        <v>12</v>
      </c>
      <c r="C10" s="12" t="s">
        <v>20</v>
      </c>
      <c r="D10" s="13" t="s">
        <v>35</v>
      </c>
      <c r="E10" s="13">
        <v>50</v>
      </c>
      <c r="F10" s="14" t="s">
        <v>36</v>
      </c>
      <c r="G10" s="5">
        <f>IF(E10&gt;=0, E10, "")</f>
        <v>50</v>
      </c>
      <c r="H10" s="5" t="str">
        <f>IF(E10&lt;0, E10, "")</f>
        <v/>
      </c>
    </row>
    <row r="11" spans="1:8" ht="14.25">
      <c r="A11" s="6">
        <v>46035</v>
      </c>
      <c r="B11" s="7" t="s">
        <v>398</v>
      </c>
      <c r="C11" s="8" t="s">
        <v>399</v>
      </c>
      <c r="D11" s="9" t="s">
        <v>400</v>
      </c>
      <c r="E11" s="10">
        <v>-20</v>
      </c>
      <c r="F11" s="11" t="s">
        <v>401</v>
      </c>
      <c r="G11" s="5" t="str">
        <f>IF(E11&gt;=0, E11, "")</f>
        <v/>
      </c>
      <c r="H11" s="37">
        <f>IF(E11&lt;0, E11, "")</f>
        <v>-20</v>
      </c>
    </row>
    <row r="12" spans="1:8" ht="14.25">
      <c r="A12" s="6">
        <v>46006</v>
      </c>
      <c r="B12" s="7" t="s">
        <v>161</v>
      </c>
      <c r="C12" s="8" t="s">
        <v>548</v>
      </c>
      <c r="D12" s="9" t="s">
        <v>549</v>
      </c>
      <c r="E12" s="10">
        <v>-350</v>
      </c>
      <c r="F12" s="11" t="s">
        <v>550</v>
      </c>
      <c r="G12" s="5" t="str">
        <f>IF(E12&gt;=0, E12, "")</f>
        <v/>
      </c>
      <c r="H12" s="37">
        <f>IF(E12&lt;0, E12, "")</f>
        <v>-350</v>
      </c>
    </row>
    <row r="13" spans="1:8" hidden="1">
      <c r="A13" s="6">
        <v>46141</v>
      </c>
      <c r="B13" s="7" t="s">
        <v>44</v>
      </c>
      <c r="C13" s="12" t="s">
        <v>45</v>
      </c>
      <c r="D13" s="13" t="s">
        <v>46</v>
      </c>
      <c r="E13" s="13">
        <v>3</v>
      </c>
      <c r="F13" s="14" t="s">
        <v>47</v>
      </c>
      <c r="G13" s="5">
        <f>IF(E13&gt;=0, E13, "")</f>
        <v>3</v>
      </c>
      <c r="H13" s="5" t="str">
        <f>IF(E13&lt;0, E13, "")</f>
        <v/>
      </c>
    </row>
    <row r="14" spans="1:8" ht="14.25">
      <c r="A14" s="6">
        <v>46031</v>
      </c>
      <c r="B14" s="7" t="s">
        <v>255</v>
      </c>
      <c r="C14" s="8" t="s">
        <v>407</v>
      </c>
      <c r="D14" s="9" t="s">
        <v>408</v>
      </c>
      <c r="E14" s="10">
        <v>-46</v>
      </c>
      <c r="F14" s="11" t="s">
        <v>409</v>
      </c>
      <c r="G14" s="5" t="str">
        <f>IF(E14&gt;=0, E14, "")</f>
        <v/>
      </c>
      <c r="H14" s="37">
        <f>IF(E14&lt;0, E14, "")</f>
        <v>-46</v>
      </c>
    </row>
    <row r="15" spans="1:8" hidden="1">
      <c r="A15" s="6">
        <v>46140</v>
      </c>
      <c r="B15" s="7" t="s">
        <v>12</v>
      </c>
      <c r="C15" s="12" t="s">
        <v>20</v>
      </c>
      <c r="D15" s="13" t="s">
        <v>21</v>
      </c>
      <c r="E15" s="13">
        <v>50</v>
      </c>
      <c r="F15" s="14" t="s">
        <v>52</v>
      </c>
      <c r="G15" s="5">
        <f>IF(E15&gt;=0, E15, "")</f>
        <v>50</v>
      </c>
      <c r="H15" s="5" t="str">
        <f>IF(E15&lt;0, E15, "")</f>
        <v/>
      </c>
    </row>
    <row r="16" spans="1:8" ht="14.25">
      <c r="A16" s="6">
        <v>46069</v>
      </c>
      <c r="B16" s="7" t="s">
        <v>259</v>
      </c>
      <c r="C16" s="8" t="s">
        <v>260</v>
      </c>
      <c r="D16" s="9" t="s">
        <v>261</v>
      </c>
      <c r="E16" s="10">
        <v>-10</v>
      </c>
      <c r="F16" s="11" t="s">
        <v>262</v>
      </c>
      <c r="G16" s="5" t="str">
        <f>IF(E16&gt;=0, E16, "")</f>
        <v/>
      </c>
      <c r="H16" s="37">
        <f>IF(E16&lt;0, E16, "")</f>
        <v>-10</v>
      </c>
    </row>
    <row r="17" spans="1:8" ht="14.25">
      <c r="A17" s="6">
        <v>46069</v>
      </c>
      <c r="B17" s="7" t="s">
        <v>31</v>
      </c>
      <c r="C17" s="8" t="s">
        <v>263</v>
      </c>
      <c r="D17" s="9" t="s">
        <v>148</v>
      </c>
      <c r="E17" s="10">
        <v>-30</v>
      </c>
      <c r="F17" s="11" t="s">
        <v>264</v>
      </c>
      <c r="G17" s="5" t="str">
        <f>IF(E17&gt;=0, E17, "")</f>
        <v/>
      </c>
      <c r="H17" s="37">
        <f>IF(E17&lt;0, E17, "")</f>
        <v>-30</v>
      </c>
    </row>
    <row r="18" spans="1:8" hidden="1">
      <c r="A18" s="6">
        <v>46137</v>
      </c>
      <c r="B18" s="7" t="s">
        <v>12</v>
      </c>
      <c r="C18" s="12" t="s">
        <v>20</v>
      </c>
      <c r="D18" s="13" t="s">
        <v>59</v>
      </c>
      <c r="E18" s="13">
        <v>80</v>
      </c>
      <c r="F18" s="14" t="s">
        <v>60</v>
      </c>
      <c r="G18" s="5">
        <f>IF(E18&gt;=0, E18, "")</f>
        <v>80</v>
      </c>
      <c r="H18" s="5" t="str">
        <f>IF(E18&lt;0, E18, "")</f>
        <v/>
      </c>
    </row>
    <row r="19" spans="1:8" hidden="1">
      <c r="A19" s="6">
        <v>46133</v>
      </c>
      <c r="B19" s="7" t="s">
        <v>61</v>
      </c>
      <c r="C19" s="12" t="s">
        <v>62</v>
      </c>
      <c r="D19" s="13" t="s">
        <v>63</v>
      </c>
      <c r="E19" s="13">
        <v>3.4</v>
      </c>
      <c r="F19" s="14" t="s">
        <v>64</v>
      </c>
      <c r="G19" s="5">
        <f>IF(E19&gt;=0, E19, "")</f>
        <v>3.4</v>
      </c>
      <c r="H19" s="5" t="str">
        <f>IF(E19&lt;0, E19, "")</f>
        <v/>
      </c>
    </row>
    <row r="20" spans="1:8" ht="14.25">
      <c r="A20" s="6">
        <v>46070</v>
      </c>
      <c r="B20" s="7" t="s">
        <v>255</v>
      </c>
      <c r="C20" s="8" t="s">
        <v>256</v>
      </c>
      <c r="D20" s="9" t="s">
        <v>257</v>
      </c>
      <c r="E20" s="10">
        <v>-100</v>
      </c>
      <c r="F20" s="11" t="s">
        <v>258</v>
      </c>
      <c r="G20" s="5" t="str">
        <f>IF(E20&gt;=0, E20, "")</f>
        <v/>
      </c>
      <c r="H20" s="37">
        <f>IF(E20&lt;0, E20, "")</f>
        <v>-100</v>
      </c>
    </row>
    <row r="21" spans="1:8" hidden="1">
      <c r="A21" s="6">
        <v>46132</v>
      </c>
      <c r="B21" s="7" t="s">
        <v>12</v>
      </c>
      <c r="C21" s="12" t="s">
        <v>20</v>
      </c>
      <c r="D21" s="13" t="s">
        <v>35</v>
      </c>
      <c r="E21" s="13">
        <v>50</v>
      </c>
      <c r="F21" s="14" t="s">
        <v>69</v>
      </c>
      <c r="G21" s="5">
        <f>IF(E21&gt;=0, E21, "")</f>
        <v>50</v>
      </c>
      <c r="H21" s="5" t="str">
        <f>IF(E21&lt;0, E21, "")</f>
        <v/>
      </c>
    </row>
    <row r="22" spans="1:8" hidden="1">
      <c r="A22" s="6">
        <v>46132</v>
      </c>
      <c r="B22" s="7" t="s">
        <v>70</v>
      </c>
      <c r="C22" s="12" t="s">
        <v>71</v>
      </c>
      <c r="D22" s="13" t="s">
        <v>72</v>
      </c>
      <c r="E22" s="13">
        <v>18</v>
      </c>
      <c r="F22" s="14" t="s">
        <v>73</v>
      </c>
      <c r="G22" s="5">
        <f>IF(E22&gt;=0, E22, "")</f>
        <v>18</v>
      </c>
      <c r="H22" s="5" t="str">
        <f>IF(E22&lt;0, E22, "")</f>
        <v/>
      </c>
    </row>
    <row r="23" spans="1:8" ht="14.25">
      <c r="A23" s="6">
        <v>46062</v>
      </c>
      <c r="B23" s="7" t="s">
        <v>31</v>
      </c>
      <c r="C23" s="8" t="s">
        <v>292</v>
      </c>
      <c r="D23" s="9" t="s">
        <v>130</v>
      </c>
      <c r="E23" s="10">
        <v>-30</v>
      </c>
      <c r="F23" s="11" t="s">
        <v>293</v>
      </c>
      <c r="G23" s="5" t="str">
        <f>IF(E23&gt;=0, E23, "")</f>
        <v/>
      </c>
      <c r="H23" s="37">
        <f>IF(E23&lt;0, E23, "")</f>
        <v>-30</v>
      </c>
    </row>
    <row r="24" spans="1:8" hidden="1">
      <c r="A24" s="6">
        <v>46126</v>
      </c>
      <c r="B24" s="7" t="s">
        <v>61</v>
      </c>
      <c r="C24" s="12" t="s">
        <v>62</v>
      </c>
      <c r="D24" s="13" t="s">
        <v>76</v>
      </c>
      <c r="E24" s="13">
        <v>3</v>
      </c>
      <c r="F24" s="14" t="s">
        <v>77</v>
      </c>
      <c r="G24" s="5">
        <f>IF(E24&gt;=0, E24, "")</f>
        <v>3</v>
      </c>
      <c r="H24" s="5" t="str">
        <f>IF(E24&lt;0, E24, "")</f>
        <v/>
      </c>
    </row>
    <row r="25" spans="1:8" ht="14.25">
      <c r="A25" s="6">
        <v>46064</v>
      </c>
      <c r="B25" s="7" t="s">
        <v>31</v>
      </c>
      <c r="C25" s="8" t="s">
        <v>280</v>
      </c>
      <c r="D25" s="9" t="s">
        <v>281</v>
      </c>
      <c r="E25" s="10">
        <v>-40</v>
      </c>
      <c r="F25" s="11" t="s">
        <v>282</v>
      </c>
      <c r="G25" s="5" t="str">
        <f>IF(E25&gt;=0, E25, "")</f>
        <v/>
      </c>
      <c r="H25" s="37">
        <f>IF(E25&lt;0, E25, "")</f>
        <v>-40</v>
      </c>
    </row>
    <row r="26" spans="1:8" hidden="1">
      <c r="A26" s="6">
        <v>46122</v>
      </c>
      <c r="B26" s="7" t="s">
        <v>12</v>
      </c>
      <c r="C26" s="12" t="s">
        <v>20</v>
      </c>
      <c r="D26" s="13" t="s">
        <v>79</v>
      </c>
      <c r="E26" s="13">
        <v>70</v>
      </c>
      <c r="F26" s="14" t="s">
        <v>80</v>
      </c>
      <c r="G26" s="5">
        <f>IF(E26&gt;=0, E26, "")</f>
        <v>70</v>
      </c>
      <c r="H26" s="5" t="str">
        <f>IF(E26&lt;0, E26, "")</f>
        <v/>
      </c>
    </row>
    <row r="27" spans="1:8" hidden="1">
      <c r="A27" s="6">
        <v>46119</v>
      </c>
      <c r="B27" s="7" t="s">
        <v>61</v>
      </c>
      <c r="C27" s="12" t="s">
        <v>81</v>
      </c>
      <c r="D27" s="13" t="s">
        <v>82</v>
      </c>
      <c r="E27" s="12"/>
      <c r="F27" s="14" t="s">
        <v>83</v>
      </c>
      <c r="G27" s="5">
        <f>IF(E27&gt;=0, E27, "")</f>
        <v>0</v>
      </c>
      <c r="H27" s="5" t="str">
        <f>IF(E27&lt;0, E27, "")</f>
        <v/>
      </c>
    </row>
    <row r="28" spans="1:8" ht="14.25">
      <c r="A28" s="6">
        <v>46052</v>
      </c>
      <c r="B28" s="7" t="s">
        <v>326</v>
      </c>
      <c r="C28" s="8" t="s">
        <v>327</v>
      </c>
      <c r="D28" s="9" t="s">
        <v>328</v>
      </c>
      <c r="E28" s="10">
        <v>-263</v>
      </c>
      <c r="F28" s="11" t="s">
        <v>329</v>
      </c>
      <c r="G28" s="5" t="str">
        <f>IF(E28&gt;=0, E28, "")</f>
        <v/>
      </c>
      <c r="H28" s="37">
        <f>IF(E28&lt;0, E28, "")</f>
        <v>-263</v>
      </c>
    </row>
    <row r="29" spans="1:8" hidden="1">
      <c r="A29" s="6">
        <v>46113</v>
      </c>
      <c r="B29" s="7" t="s">
        <v>86</v>
      </c>
      <c r="C29" s="12" t="s">
        <v>87</v>
      </c>
      <c r="D29" s="13" t="s">
        <v>88</v>
      </c>
      <c r="E29" s="13">
        <v>3</v>
      </c>
      <c r="F29" s="14" t="s">
        <v>89</v>
      </c>
      <c r="G29" s="5">
        <f>IF(E29&gt;=0, E29, "")</f>
        <v>3</v>
      </c>
      <c r="H29" s="5" t="str">
        <f>IF(E29&lt;0, E29, "")</f>
        <v/>
      </c>
    </row>
    <row r="30" spans="1:8" hidden="1">
      <c r="A30" s="6">
        <v>46112</v>
      </c>
      <c r="B30" s="7" t="s">
        <v>12</v>
      </c>
      <c r="C30" s="12" t="s">
        <v>20</v>
      </c>
      <c r="D30" s="13" t="s">
        <v>90</v>
      </c>
      <c r="E30" s="13">
        <v>100</v>
      </c>
      <c r="F30" s="14" t="s">
        <v>91</v>
      </c>
      <c r="G30" s="5">
        <f>IF(E30&gt;=0, E30, "")</f>
        <v>100</v>
      </c>
      <c r="H30" s="5" t="str">
        <f>IF(E30&lt;0, E30, "")</f>
        <v/>
      </c>
    </row>
    <row r="31" spans="1:8" ht="14.25">
      <c r="A31" s="6">
        <v>46027</v>
      </c>
      <c r="B31" s="7" t="s">
        <v>424</v>
      </c>
      <c r="C31" s="8" t="s">
        <v>425</v>
      </c>
      <c r="D31" s="9" t="s">
        <v>426</v>
      </c>
      <c r="E31" s="10">
        <v>-36</v>
      </c>
      <c r="F31" s="11" t="s">
        <v>427</v>
      </c>
      <c r="G31" s="5" t="str">
        <f>IF(E31&gt;=0, E31, "")</f>
        <v/>
      </c>
      <c r="H31" s="37">
        <f>IF(E31&lt;0, E31, "")</f>
        <v>-36</v>
      </c>
    </row>
    <row r="32" spans="1:8" ht="14.25">
      <c r="A32" s="6">
        <v>46104</v>
      </c>
      <c r="B32" s="7" t="s">
        <v>31</v>
      </c>
      <c r="C32" s="8" t="s">
        <v>142</v>
      </c>
      <c r="D32" s="9" t="s">
        <v>97</v>
      </c>
      <c r="E32" s="10">
        <v>-20</v>
      </c>
      <c r="F32" s="11" t="s">
        <v>143</v>
      </c>
      <c r="G32" s="5" t="str">
        <f>IF(E32&gt;=0, E32, "")</f>
        <v/>
      </c>
      <c r="H32" s="37">
        <f>IF(E32&lt;0, E32, "")</f>
        <v>-20</v>
      </c>
    </row>
    <row r="33" spans="1:8" hidden="1">
      <c r="A33" s="6">
        <v>46110</v>
      </c>
      <c r="B33" s="7" t="s">
        <v>99</v>
      </c>
      <c r="C33" s="12" t="s">
        <v>100</v>
      </c>
      <c r="D33" s="13" t="s">
        <v>101</v>
      </c>
      <c r="E33" s="13">
        <v>21.92</v>
      </c>
      <c r="F33" s="14" t="s">
        <v>102</v>
      </c>
      <c r="G33" s="5">
        <f>IF(E33&gt;=0, E33, "")</f>
        <v>21.92</v>
      </c>
      <c r="H33" s="37" t="str">
        <f>IF(E33&lt;0, E33, "")</f>
        <v/>
      </c>
    </row>
    <row r="34" spans="1:8" ht="14.25">
      <c r="A34" s="6">
        <v>46071</v>
      </c>
      <c r="B34" s="7" t="s">
        <v>242</v>
      </c>
      <c r="C34" s="8" t="s">
        <v>243</v>
      </c>
      <c r="D34" s="9" t="s">
        <v>244</v>
      </c>
      <c r="E34" s="10">
        <v>-147</v>
      </c>
      <c r="F34" s="11" t="s">
        <v>245</v>
      </c>
      <c r="G34" s="5" t="str">
        <f>IF(E34&gt;=0, E34, "")</f>
        <v/>
      </c>
      <c r="H34" s="37">
        <f>IF(E34&lt;0, E34, "")</f>
        <v>-147</v>
      </c>
    </row>
    <row r="35" spans="1:8" ht="14.25">
      <c r="A35" s="6">
        <v>46100</v>
      </c>
      <c r="B35" s="7" t="s">
        <v>150</v>
      </c>
      <c r="C35" s="8" t="s">
        <v>151</v>
      </c>
      <c r="D35" s="9" t="s">
        <v>152</v>
      </c>
      <c r="E35" s="10">
        <v>-10.98</v>
      </c>
      <c r="F35" s="11" t="s">
        <v>153</v>
      </c>
      <c r="G35" s="5" t="str">
        <f>IF(E35&gt;=0, E35, "")</f>
        <v/>
      </c>
      <c r="H35" s="37">
        <f>IF(E35&lt;0, E35, "")</f>
        <v>-10.98</v>
      </c>
    </row>
    <row r="36" spans="1:8" hidden="1">
      <c r="A36" s="6">
        <v>46109</v>
      </c>
      <c r="B36" s="7" t="s">
        <v>12</v>
      </c>
      <c r="C36" s="12" t="s">
        <v>20</v>
      </c>
      <c r="D36" s="13" t="s">
        <v>14</v>
      </c>
      <c r="E36" s="13">
        <v>50</v>
      </c>
      <c r="F36" s="14" t="s">
        <v>111</v>
      </c>
      <c r="G36" s="5">
        <f>IF(E36&gt;=0, E36, "")</f>
        <v>50</v>
      </c>
      <c r="H36" s="5" t="str">
        <f>IF(E36&lt;0, E36, "")</f>
        <v/>
      </c>
    </row>
    <row r="37" spans="1:8" ht="14.25">
      <c r="A37" s="6">
        <v>46100</v>
      </c>
      <c r="B37" s="7" t="s">
        <v>161</v>
      </c>
      <c r="C37" s="8" t="s">
        <v>162</v>
      </c>
      <c r="D37" s="9" t="s">
        <v>163</v>
      </c>
      <c r="E37" s="10">
        <v>-9.3800000000000008</v>
      </c>
      <c r="F37" s="11" t="s">
        <v>164</v>
      </c>
      <c r="G37" s="5" t="str">
        <f>IF(E37&gt;=0, E37, "")</f>
        <v/>
      </c>
      <c r="H37" s="37">
        <f>IF(E37&lt;0, E37, "")</f>
        <v>-9.3800000000000008</v>
      </c>
    </row>
    <row r="38" spans="1:8" ht="14.25">
      <c r="A38" s="6">
        <v>46015</v>
      </c>
      <c r="B38" s="7" t="s">
        <v>31</v>
      </c>
      <c r="C38" s="8" t="s">
        <v>467</v>
      </c>
      <c r="D38" s="9" t="s">
        <v>468</v>
      </c>
      <c r="E38" s="10">
        <v>-150</v>
      </c>
      <c r="F38" s="11" t="s">
        <v>469</v>
      </c>
      <c r="G38" s="5" t="str">
        <f>IF(E38&gt;=0, E38, "")</f>
        <v/>
      </c>
      <c r="H38" s="37">
        <f>IF(E38&lt;0, E38, "")</f>
        <v>-150</v>
      </c>
    </row>
    <row r="39" spans="1:8" hidden="1">
      <c r="A39" s="6">
        <v>46107</v>
      </c>
      <c r="B39" s="7" t="s">
        <v>12</v>
      </c>
      <c r="C39" s="12" t="s">
        <v>20</v>
      </c>
      <c r="D39" s="13" t="s">
        <v>118</v>
      </c>
      <c r="E39" s="13">
        <v>50</v>
      </c>
      <c r="F39" s="14" t="s">
        <v>119</v>
      </c>
      <c r="G39" s="5">
        <f>IF(E39&gt;=0, E39, "")</f>
        <v>50</v>
      </c>
      <c r="H39" s="5" t="str">
        <f>IF(E39&lt;0, E39, "")</f>
        <v/>
      </c>
    </row>
    <row r="40" spans="1:8" ht="14.25">
      <c r="A40" s="6">
        <v>46016</v>
      </c>
      <c r="B40" s="7" t="s">
        <v>255</v>
      </c>
      <c r="C40" s="8" t="s">
        <v>461</v>
      </c>
      <c r="D40" s="9" t="s">
        <v>462</v>
      </c>
      <c r="E40" s="10">
        <v>-200</v>
      </c>
      <c r="F40" s="11" t="s">
        <v>463</v>
      </c>
      <c r="G40" s="5" t="str">
        <f>IF(E40&gt;=0, E40, "")</f>
        <v/>
      </c>
      <c r="H40" s="37">
        <f>IF(E40&lt;0, E40, "")</f>
        <v>-200</v>
      </c>
    </row>
    <row r="41" spans="1:8" ht="14.25">
      <c r="A41" s="6">
        <v>46015</v>
      </c>
      <c r="B41" s="7" t="s">
        <v>16</v>
      </c>
      <c r="C41" s="8" t="s">
        <v>470</v>
      </c>
      <c r="D41" s="9" t="s">
        <v>471</v>
      </c>
      <c r="E41" s="10">
        <v>-100</v>
      </c>
      <c r="F41" s="11" t="s">
        <v>472</v>
      </c>
      <c r="G41" s="5" t="str">
        <f>IF(E41&gt;=0, E41, "")</f>
        <v/>
      </c>
      <c r="H41" s="37">
        <f>IF(E41&lt;0, E41, "")</f>
        <v>-100</v>
      </c>
    </row>
    <row r="42" spans="1:8" ht="14.25">
      <c r="A42" s="6">
        <v>46013</v>
      </c>
      <c r="B42" s="7" t="s">
        <v>481</v>
      </c>
      <c r="C42" s="8" t="s">
        <v>482</v>
      </c>
      <c r="D42" s="9" t="s">
        <v>483</v>
      </c>
      <c r="E42" s="10">
        <v>-10</v>
      </c>
      <c r="F42" s="11" t="s">
        <v>484</v>
      </c>
      <c r="G42" s="5" t="str">
        <f>IF(E42&gt;=0, E42, "")</f>
        <v/>
      </c>
      <c r="H42" s="37">
        <f>IF(E42&lt;0, E42, "")</f>
        <v>-10</v>
      </c>
    </row>
    <row r="43" spans="1:8" ht="14.25">
      <c r="A43" s="6">
        <v>46021</v>
      </c>
      <c r="B43" s="7" t="s">
        <v>449</v>
      </c>
      <c r="C43" s="8" t="s">
        <v>450</v>
      </c>
      <c r="D43" s="9" t="s">
        <v>451</v>
      </c>
      <c r="E43" s="10">
        <v>-20</v>
      </c>
      <c r="F43" s="11" t="s">
        <v>452</v>
      </c>
      <c r="G43" s="5" t="str">
        <f>IF(E43&gt;=0, E43, "")</f>
        <v/>
      </c>
      <c r="H43" s="37">
        <f>IF(E43&lt;0, E43, "")</f>
        <v>-20</v>
      </c>
    </row>
    <row r="44" spans="1:8" ht="14.25">
      <c r="A44" s="6">
        <v>46027</v>
      </c>
      <c r="B44" s="7" t="s">
        <v>420</v>
      </c>
      <c r="C44" s="8" t="s">
        <v>421</v>
      </c>
      <c r="D44" s="9" t="s">
        <v>422</v>
      </c>
      <c r="E44" s="10">
        <v>-19</v>
      </c>
      <c r="F44" s="11" t="s">
        <v>423</v>
      </c>
      <c r="G44" s="5" t="str">
        <f>IF(E44&gt;=0, E44, "")</f>
        <v/>
      </c>
      <c r="H44" s="37">
        <f>IF(E44&lt;0, E44, "")</f>
        <v>-19</v>
      </c>
    </row>
    <row r="45" spans="1:8" hidden="1">
      <c r="A45" s="6">
        <v>46105</v>
      </c>
      <c r="B45" s="7" t="s">
        <v>12</v>
      </c>
      <c r="C45" s="12" t="s">
        <v>20</v>
      </c>
      <c r="D45" s="13" t="s">
        <v>135</v>
      </c>
      <c r="E45" s="13">
        <v>50</v>
      </c>
      <c r="F45" s="14" t="s">
        <v>136</v>
      </c>
      <c r="G45" s="5">
        <f>IF(E45&gt;=0, E45, "")</f>
        <v>50</v>
      </c>
      <c r="H45" s="5" t="str">
        <f>IF(E45&lt;0, E45, "")</f>
        <v/>
      </c>
    </row>
    <row r="46" spans="1:8" ht="14.25">
      <c r="A46" s="6">
        <v>46046</v>
      </c>
      <c r="B46" s="7" t="s">
        <v>255</v>
      </c>
      <c r="C46" s="8" t="s">
        <v>361</v>
      </c>
      <c r="D46" s="9" t="s">
        <v>362</v>
      </c>
      <c r="E46" s="10">
        <v>-150</v>
      </c>
      <c r="F46" s="11" t="s">
        <v>363</v>
      </c>
      <c r="G46" s="5" t="str">
        <f>IF(E46&gt;=0, E46, "")</f>
        <v/>
      </c>
      <c r="H46" s="37">
        <f>IF(E46&lt;0, E46, "")</f>
        <v>-150</v>
      </c>
    </row>
    <row r="47" spans="1:8" hidden="1">
      <c r="A47" s="6">
        <v>46104</v>
      </c>
      <c r="B47" s="7" t="s">
        <v>61</v>
      </c>
      <c r="C47" s="12" t="s">
        <v>81</v>
      </c>
      <c r="D47" s="13" t="s">
        <v>140</v>
      </c>
      <c r="E47" s="13">
        <v>7.4</v>
      </c>
      <c r="F47" s="14" t="s">
        <v>141</v>
      </c>
      <c r="G47" s="5">
        <f>IF(E47&gt;=0, E47, "")</f>
        <v>7.4</v>
      </c>
      <c r="H47" s="5" t="str">
        <f>IF(E47&lt;0, E47, "")</f>
        <v/>
      </c>
    </row>
    <row r="48" spans="1:8" ht="14.25">
      <c r="A48" s="6">
        <v>46013</v>
      </c>
      <c r="B48" s="7" t="s">
        <v>477</v>
      </c>
      <c r="C48" s="8" t="s">
        <v>478</v>
      </c>
      <c r="D48" s="9" t="s">
        <v>479</v>
      </c>
      <c r="E48" s="10">
        <v>-1.2</v>
      </c>
      <c r="F48" s="11" t="s">
        <v>480</v>
      </c>
      <c r="G48" s="5" t="str">
        <f>IF(E48&gt;=0, E48, "")</f>
        <v/>
      </c>
      <c r="H48" s="37">
        <f>IF(E48&lt;0, E48, "")</f>
        <v>-1.2</v>
      </c>
    </row>
    <row r="49" spans="1:8" ht="14.25">
      <c r="A49" s="6">
        <v>46140</v>
      </c>
      <c r="B49" s="7" t="s">
        <v>53</v>
      </c>
      <c r="C49" s="8" t="s">
        <v>54</v>
      </c>
      <c r="D49" s="9" t="s">
        <v>55</v>
      </c>
      <c r="E49" s="10">
        <v>-27</v>
      </c>
      <c r="F49" s="11" t="s">
        <v>56</v>
      </c>
      <c r="G49" s="5" t="str">
        <f>IF(E49&gt;=0, E49, "")</f>
        <v/>
      </c>
      <c r="H49" s="37">
        <f>IF(E49&lt;0, E49, "")</f>
        <v>-27</v>
      </c>
    </row>
    <row r="50" spans="1:8" ht="14.25">
      <c r="A50" s="6">
        <v>46049</v>
      </c>
      <c r="B50" s="7" t="s">
        <v>242</v>
      </c>
      <c r="C50" s="8" t="s">
        <v>347</v>
      </c>
      <c r="D50" s="9" t="s">
        <v>348</v>
      </c>
      <c r="E50" s="10">
        <v>-14.35</v>
      </c>
      <c r="F50" s="11" t="s">
        <v>349</v>
      </c>
      <c r="G50" s="5" t="str">
        <f>IF(E50&gt;=0, E50, "")</f>
        <v/>
      </c>
      <c r="H50" s="37">
        <f>IF(E50&lt;0, E50, "")</f>
        <v>-14.35</v>
      </c>
    </row>
    <row r="51" spans="1:8" ht="14.25">
      <c r="A51" s="6">
        <v>46048</v>
      </c>
      <c r="B51" s="7" t="s">
        <v>242</v>
      </c>
      <c r="C51" s="8" t="s">
        <v>347</v>
      </c>
      <c r="D51" s="9" t="s">
        <v>353</v>
      </c>
      <c r="E51" s="10">
        <v>-84.27</v>
      </c>
      <c r="F51" s="11" t="s">
        <v>354</v>
      </c>
      <c r="G51" s="5" t="str">
        <f>IF(E51&gt;=0, E51, "")</f>
        <v/>
      </c>
      <c r="H51" s="37">
        <f>IF(E51&lt;0, E51, "")</f>
        <v>-84.27</v>
      </c>
    </row>
    <row r="52" spans="1:8" ht="14.25">
      <c r="A52" s="6">
        <v>45990</v>
      </c>
      <c r="B52" s="7" t="s">
        <v>16</v>
      </c>
      <c r="C52" s="8" t="s">
        <v>578</v>
      </c>
      <c r="D52" s="9" t="s">
        <v>186</v>
      </c>
      <c r="E52" s="9">
        <v>-70</v>
      </c>
      <c r="F52" s="14" t="s">
        <v>579</v>
      </c>
      <c r="G52" s="5" t="str">
        <f>IF(E52&gt;=0, E52, "")</f>
        <v/>
      </c>
      <c r="H52" s="37">
        <f>IF(E52&lt;0, E52, "")</f>
        <v>-70</v>
      </c>
    </row>
    <row r="53" spans="1:8" ht="14.25">
      <c r="A53" s="6">
        <v>46108</v>
      </c>
      <c r="B53" s="7" t="s">
        <v>16</v>
      </c>
      <c r="C53" s="8" t="s">
        <v>112</v>
      </c>
      <c r="D53" s="9" t="s">
        <v>113</v>
      </c>
      <c r="E53" s="10">
        <v>-20</v>
      </c>
      <c r="F53" s="11" t="s">
        <v>114</v>
      </c>
      <c r="G53" s="5" t="str">
        <f>IF(E53&gt;=0, E53, "")</f>
        <v/>
      </c>
      <c r="H53" s="37">
        <f>IF(E53&lt;0, E53, "")</f>
        <v>-20</v>
      </c>
    </row>
    <row r="54" spans="1:8" ht="14.25">
      <c r="A54" s="6">
        <v>46160</v>
      </c>
      <c r="B54" s="7" t="s">
        <v>8</v>
      </c>
      <c r="C54" s="8" t="s">
        <v>9</v>
      </c>
      <c r="D54" s="9" t="s">
        <v>10</v>
      </c>
      <c r="E54" s="10">
        <v>-10</v>
      </c>
      <c r="F54" s="11" t="s">
        <v>11</v>
      </c>
      <c r="G54" s="5" t="str">
        <f>IF(E54&gt;=0, E54, "")</f>
        <v/>
      </c>
      <c r="H54" s="37">
        <f>IF(E54&lt;0, E54, "")</f>
        <v>-10</v>
      </c>
    </row>
    <row r="55" spans="1:8" hidden="1">
      <c r="A55" s="6">
        <v>46099</v>
      </c>
      <c r="B55" s="7" t="s">
        <v>12</v>
      </c>
      <c r="C55" s="12" t="s">
        <v>20</v>
      </c>
      <c r="D55" s="13" t="s">
        <v>21</v>
      </c>
      <c r="E55" s="13">
        <v>50</v>
      </c>
      <c r="F55" s="14" t="s">
        <v>165</v>
      </c>
      <c r="G55" s="5">
        <f>IF(E55&gt;=0, E55, "")</f>
        <v>50</v>
      </c>
      <c r="H55" s="5" t="str">
        <f>IF(E55&lt;0, E55, "")</f>
        <v/>
      </c>
    </row>
    <row r="56" spans="1:8" ht="14.25">
      <c r="A56" s="6">
        <v>46100</v>
      </c>
      <c r="B56" s="7" t="s">
        <v>157</v>
      </c>
      <c r="C56" s="8" t="s">
        <v>158</v>
      </c>
      <c r="D56" s="9" t="s">
        <v>159</v>
      </c>
      <c r="E56" s="10">
        <v>-8.5</v>
      </c>
      <c r="F56" s="11" t="s">
        <v>160</v>
      </c>
      <c r="G56" s="5" t="str">
        <f>IF(E56&gt;=0, E56, "")</f>
        <v/>
      </c>
      <c r="H56" s="37">
        <f>IF(E56&lt;0, E56, "")</f>
        <v>-8.5</v>
      </c>
    </row>
    <row r="57" spans="1:8" hidden="1">
      <c r="A57" s="6">
        <v>46098</v>
      </c>
      <c r="B57" s="7" t="s">
        <v>12</v>
      </c>
      <c r="C57" s="12" t="s">
        <v>169</v>
      </c>
      <c r="D57" s="13" t="s">
        <v>35</v>
      </c>
      <c r="E57" s="13">
        <v>50</v>
      </c>
      <c r="F57" s="14" t="s">
        <v>170</v>
      </c>
      <c r="G57" s="5">
        <f>IF(E57&gt;=0, E57, "")</f>
        <v>50</v>
      </c>
      <c r="H57" s="5" t="str">
        <f>IF(E57&lt;0, E57, "")</f>
        <v/>
      </c>
    </row>
    <row r="58" spans="1:8" hidden="1">
      <c r="A58" s="6">
        <v>46097</v>
      </c>
      <c r="B58" s="7" t="s">
        <v>61</v>
      </c>
      <c r="C58" s="12" t="s">
        <v>62</v>
      </c>
      <c r="D58" s="13" t="s">
        <v>171</v>
      </c>
      <c r="E58" s="13">
        <v>12</v>
      </c>
      <c r="F58" s="14" t="s">
        <v>172</v>
      </c>
      <c r="G58" s="5">
        <f>IF(E58&gt;=0, E58, "")</f>
        <v>12</v>
      </c>
      <c r="H58" s="5" t="str">
        <f>IF(E58&lt;0, E58, "")</f>
        <v/>
      </c>
    </row>
    <row r="59" spans="1:8" ht="14.25">
      <c r="A59" s="6">
        <v>46049</v>
      </c>
      <c r="B59" s="7" t="s">
        <v>157</v>
      </c>
      <c r="C59" s="8" t="s">
        <v>158</v>
      </c>
      <c r="D59" s="9" t="s">
        <v>345</v>
      </c>
      <c r="E59" s="10">
        <v>-11.12</v>
      </c>
      <c r="F59" s="11" t="s">
        <v>346</v>
      </c>
      <c r="G59" s="5" t="str">
        <f>IF(E59&gt;=0, E59, "")</f>
        <v/>
      </c>
      <c r="H59" s="37">
        <f>IF(E59&lt;0, E59, "")</f>
        <v>-11.12</v>
      </c>
    </row>
    <row r="60" spans="1:8" hidden="1">
      <c r="A60" s="6">
        <v>46092</v>
      </c>
      <c r="B60" s="7" t="s">
        <v>61</v>
      </c>
      <c r="C60" s="12" t="s">
        <v>175</v>
      </c>
      <c r="D60" s="13" t="s">
        <v>176</v>
      </c>
      <c r="E60" s="13">
        <v>17</v>
      </c>
      <c r="F60" s="14" t="s">
        <v>177</v>
      </c>
      <c r="G60" s="5">
        <f>IF(E60&gt;=0, E60, "")</f>
        <v>17</v>
      </c>
      <c r="H60" s="37" t="str">
        <f>IF(E60&lt;0, E60, "")</f>
        <v/>
      </c>
    </row>
    <row r="61" spans="1:8" ht="14.25">
      <c r="A61" s="6">
        <v>46044</v>
      </c>
      <c r="B61" s="7" t="s">
        <v>255</v>
      </c>
      <c r="C61" s="8" t="s">
        <v>158</v>
      </c>
      <c r="D61" s="9" t="s">
        <v>370</v>
      </c>
      <c r="E61" s="10">
        <v>-50</v>
      </c>
      <c r="F61" s="11" t="s">
        <v>371</v>
      </c>
      <c r="G61" s="5" t="str">
        <f>IF(E61&gt;=0, E61, "")</f>
        <v/>
      </c>
      <c r="H61" s="37">
        <f>IF(E61&lt;0, E61, "")</f>
        <v>-50</v>
      </c>
    </row>
    <row r="62" spans="1:8" ht="14.25">
      <c r="A62" s="6">
        <v>46026</v>
      </c>
      <c r="B62" s="7" t="s">
        <v>196</v>
      </c>
      <c r="C62" s="8" t="s">
        <v>435</v>
      </c>
      <c r="D62" s="9" t="s">
        <v>436</v>
      </c>
      <c r="E62" s="10">
        <v>-10</v>
      </c>
      <c r="F62" s="11" t="s">
        <v>437</v>
      </c>
      <c r="G62" s="5" t="str">
        <f>IF(E62&gt;=0, E62, "")</f>
        <v/>
      </c>
      <c r="H62" s="37">
        <f>IF(E62&lt;0, E62, "")</f>
        <v>-10</v>
      </c>
    </row>
    <row r="63" spans="1:8" hidden="1">
      <c r="A63" s="6">
        <v>46090</v>
      </c>
      <c r="B63" s="7" t="s">
        <v>12</v>
      </c>
      <c r="C63" s="12" t="s">
        <v>20</v>
      </c>
      <c r="D63" s="13" t="s">
        <v>183</v>
      </c>
      <c r="E63" s="13">
        <v>100</v>
      </c>
      <c r="F63" s="14" t="s">
        <v>184</v>
      </c>
      <c r="G63" s="5">
        <f>IF(E63&gt;=0, E63, "")</f>
        <v>100</v>
      </c>
      <c r="H63" s="5" t="str">
        <f>IF(E63&lt;0, E63, "")</f>
        <v/>
      </c>
    </row>
    <row r="64" spans="1:8" ht="14.25">
      <c r="A64" s="6">
        <v>46012</v>
      </c>
      <c r="B64" s="7" t="s">
        <v>505</v>
      </c>
      <c r="C64" s="8" t="s">
        <v>506</v>
      </c>
      <c r="D64" s="9" t="s">
        <v>507</v>
      </c>
      <c r="E64" s="10">
        <v>-28</v>
      </c>
      <c r="F64" s="11" t="s">
        <v>508</v>
      </c>
      <c r="G64" s="5" t="str">
        <f>IF(E64&gt;=0, E64, "")</f>
        <v/>
      </c>
      <c r="H64" s="37">
        <f>IF(E64&lt;0, E64, "")</f>
        <v>-28</v>
      </c>
    </row>
    <row r="65" spans="1:8" hidden="1">
      <c r="A65" s="6">
        <v>46088</v>
      </c>
      <c r="B65" s="7" t="s">
        <v>86</v>
      </c>
      <c r="C65" s="12" t="s">
        <v>87</v>
      </c>
      <c r="D65" s="13" t="s">
        <v>188</v>
      </c>
      <c r="E65" s="13">
        <v>3</v>
      </c>
      <c r="F65" s="14" t="s">
        <v>189</v>
      </c>
      <c r="G65" s="5">
        <f>IF(E65&gt;=0, E65, "")</f>
        <v>3</v>
      </c>
      <c r="H65" s="5" t="str">
        <f>IF(E65&lt;0, E65, "")</f>
        <v/>
      </c>
    </row>
    <row r="66" spans="1:8" hidden="1">
      <c r="A66" s="6">
        <v>46087</v>
      </c>
      <c r="B66" s="7" t="s">
        <v>12</v>
      </c>
      <c r="C66" s="12" t="s">
        <v>20</v>
      </c>
      <c r="D66" s="13" t="s">
        <v>190</v>
      </c>
      <c r="E66" s="13">
        <v>50</v>
      </c>
      <c r="F66" s="14" t="s">
        <v>191</v>
      </c>
      <c r="G66" s="5">
        <f>IF(E66&gt;=0, E66, "")</f>
        <v>50</v>
      </c>
      <c r="H66" s="5" t="str">
        <f>IF(E66&lt;0, E66, "")</f>
        <v/>
      </c>
    </row>
    <row r="67" spans="1:8" hidden="1">
      <c r="A67" s="6">
        <v>46085</v>
      </c>
      <c r="B67" s="7" t="s">
        <v>192</v>
      </c>
      <c r="C67" s="12" t="s">
        <v>193</v>
      </c>
      <c r="D67" s="13" t="s">
        <v>194</v>
      </c>
      <c r="E67" s="13">
        <v>13</v>
      </c>
      <c r="F67" s="14" t="s">
        <v>195</v>
      </c>
      <c r="G67" s="5">
        <f>IF(E67&gt;=0, E67, "")</f>
        <v>13</v>
      </c>
      <c r="H67" s="5" t="str">
        <f>IF(E67&lt;0, E67, "")</f>
        <v/>
      </c>
    </row>
    <row r="68" spans="1:8" ht="14.25">
      <c r="A68" s="6">
        <v>46013</v>
      </c>
      <c r="B68" s="7" t="s">
        <v>501</v>
      </c>
      <c r="C68" s="8" t="s">
        <v>502</v>
      </c>
      <c r="D68" s="9" t="s">
        <v>503</v>
      </c>
      <c r="E68" s="10">
        <v>-3.5</v>
      </c>
      <c r="F68" s="11" t="s">
        <v>504</v>
      </c>
      <c r="G68" s="5" t="str">
        <f>IF(E68&gt;=0, E68, "")</f>
        <v/>
      </c>
      <c r="H68" s="37">
        <f>IF(E68&lt;0, E68, "")</f>
        <v>-3.5</v>
      </c>
    </row>
    <row r="69" spans="1:8">
      <c r="A69" s="6">
        <v>46084</v>
      </c>
      <c r="B69" s="7" t="s">
        <v>154</v>
      </c>
      <c r="C69" s="8" t="s">
        <v>200</v>
      </c>
      <c r="D69" s="9" t="s">
        <v>201</v>
      </c>
      <c r="E69" s="10">
        <v>-50</v>
      </c>
      <c r="F69" s="11" t="s">
        <v>202</v>
      </c>
      <c r="G69" s="5" t="str">
        <f>IF(E69&gt;=0, E69, "")</f>
        <v/>
      </c>
      <c r="H69" s="37">
        <f>IF(E69&lt;0, E69, "")</f>
        <v>-50</v>
      </c>
    </row>
    <row r="70" spans="1:8" hidden="1">
      <c r="A70" s="6">
        <v>46083</v>
      </c>
      <c r="B70" s="7" t="s">
        <v>44</v>
      </c>
      <c r="C70" s="12" t="s">
        <v>203</v>
      </c>
      <c r="D70" s="13" t="s">
        <v>204</v>
      </c>
      <c r="E70" s="13">
        <v>3</v>
      </c>
      <c r="F70" s="14" t="s">
        <v>205</v>
      </c>
      <c r="G70" s="5">
        <f>IF(E70&gt;=0, E70, "")</f>
        <v>3</v>
      </c>
      <c r="H70" s="5" t="str">
        <f>IF(E70&lt;0, E70, "")</f>
        <v/>
      </c>
    </row>
    <row r="71" spans="1:8" hidden="1">
      <c r="A71" s="6">
        <v>46083</v>
      </c>
      <c r="B71" s="7" t="s">
        <v>206</v>
      </c>
      <c r="C71" s="12" t="s">
        <v>207</v>
      </c>
      <c r="D71" s="13" t="s">
        <v>208</v>
      </c>
      <c r="E71" s="13">
        <v>3</v>
      </c>
      <c r="F71" s="14" t="s">
        <v>209</v>
      </c>
      <c r="G71" s="5">
        <f>IF(E71&gt;=0, E71, "")</f>
        <v>3</v>
      </c>
      <c r="H71" s="5" t="str">
        <f>IF(E71&lt;0, E71, "")</f>
        <v/>
      </c>
    </row>
    <row r="72" spans="1:8" hidden="1">
      <c r="A72" s="6">
        <v>46083</v>
      </c>
      <c r="B72" s="7" t="s">
        <v>61</v>
      </c>
      <c r="C72" s="12" t="s">
        <v>175</v>
      </c>
      <c r="D72" s="13" t="s">
        <v>210</v>
      </c>
      <c r="E72" s="13">
        <v>7.14</v>
      </c>
      <c r="F72" s="14" t="s">
        <v>211</v>
      </c>
      <c r="G72" s="5">
        <f>IF(E72&gt;=0, E72, "")</f>
        <v>7.14</v>
      </c>
      <c r="H72" s="5" t="str">
        <f>IF(E72&lt;0, E72, "")</f>
        <v/>
      </c>
    </row>
    <row r="73" spans="1:8" ht="14.25">
      <c r="A73" s="6">
        <v>46133</v>
      </c>
      <c r="B73" s="7" t="s">
        <v>65</v>
      </c>
      <c r="C73" s="8" t="s">
        <v>66</v>
      </c>
      <c r="D73" s="9" t="s">
        <v>67</v>
      </c>
      <c r="E73" s="10">
        <v>-25</v>
      </c>
      <c r="F73" s="11" t="s">
        <v>68</v>
      </c>
      <c r="G73" s="5" t="str">
        <f>IF(E73&gt;=0, E73, "")</f>
        <v/>
      </c>
      <c r="H73" s="37">
        <f>IF(E73&lt;0, E73, "")</f>
        <v>-25</v>
      </c>
    </row>
    <row r="74" spans="1:8" ht="14.25">
      <c r="A74" s="6">
        <v>46092</v>
      </c>
      <c r="B74" s="7" t="s">
        <v>65</v>
      </c>
      <c r="C74" s="8" t="s">
        <v>66</v>
      </c>
      <c r="D74" s="9" t="s">
        <v>178</v>
      </c>
      <c r="E74" s="10">
        <v>-25</v>
      </c>
      <c r="F74" s="11" t="s">
        <v>179</v>
      </c>
      <c r="G74" s="5" t="str">
        <f>IF(E74&gt;=0, E74, "")</f>
        <v/>
      </c>
      <c r="H74" s="37">
        <f>IF(E74&lt;0, E74, "")</f>
        <v>-25</v>
      </c>
    </row>
    <row r="75" spans="1:8" hidden="1">
      <c r="A75" s="6">
        <v>46081</v>
      </c>
      <c r="B75" s="7" t="s">
        <v>12</v>
      </c>
      <c r="C75" s="12" t="s">
        <v>20</v>
      </c>
      <c r="D75" s="13" t="s">
        <v>216</v>
      </c>
      <c r="E75" s="13">
        <v>100</v>
      </c>
      <c r="F75" s="14" t="s">
        <v>217</v>
      </c>
      <c r="G75" s="5">
        <f>IF(E75&gt;=0, E75, "")</f>
        <v>100</v>
      </c>
      <c r="H75" s="5" t="str">
        <f>IF(E75&lt;0, E75, "")</f>
        <v/>
      </c>
    </row>
    <row r="76" spans="1:8" hidden="1">
      <c r="A76" s="23">
        <v>46080</v>
      </c>
      <c r="B76" s="24" t="s">
        <v>218</v>
      </c>
      <c r="C76" s="24" t="s">
        <v>219</v>
      </c>
      <c r="D76" s="25" t="s">
        <v>220</v>
      </c>
      <c r="E76" s="26">
        <v>50</v>
      </c>
      <c r="F76" s="27" t="s">
        <v>221</v>
      </c>
      <c r="G76" s="28">
        <f>IF(E76&gt;=0, E76, "")</f>
        <v>50</v>
      </c>
      <c r="H76" s="28" t="str">
        <f>IF(E76&lt;0, E76, "")</f>
        <v/>
      </c>
    </row>
    <row r="77" spans="1:8" ht="14.25">
      <c r="A77" s="6">
        <v>46063</v>
      </c>
      <c r="B77" s="7" t="s">
        <v>65</v>
      </c>
      <c r="C77" s="8" t="s">
        <v>66</v>
      </c>
      <c r="D77" s="9" t="s">
        <v>283</v>
      </c>
      <c r="E77" s="10">
        <v>-25</v>
      </c>
      <c r="F77" s="11" t="s">
        <v>284</v>
      </c>
      <c r="G77" s="5" t="str">
        <f>IF(E77&gt;=0, E77, "")</f>
        <v/>
      </c>
      <c r="H77" s="37">
        <f>IF(E77&lt;0, E77, "")</f>
        <v>-25</v>
      </c>
    </row>
    <row r="78" spans="1:8" hidden="1">
      <c r="A78" s="6">
        <v>46077</v>
      </c>
      <c r="B78" s="7" t="s">
        <v>223</v>
      </c>
      <c r="C78" s="12" t="s">
        <v>224</v>
      </c>
      <c r="D78" s="13" t="s">
        <v>225</v>
      </c>
      <c r="E78" s="13">
        <v>50</v>
      </c>
      <c r="F78" s="14" t="s">
        <v>226</v>
      </c>
      <c r="G78" s="5">
        <f>IF(E78&gt;=0, E78, "")</f>
        <v>50</v>
      </c>
      <c r="H78" s="5" t="str">
        <f>IF(E78&lt;0, E78, "")</f>
        <v/>
      </c>
    </row>
    <row r="79" spans="1:8" hidden="1">
      <c r="A79" s="6">
        <v>46077</v>
      </c>
      <c r="B79" s="7" t="s">
        <v>61</v>
      </c>
      <c r="C79" s="12" t="s">
        <v>227</v>
      </c>
      <c r="D79" s="13" t="s">
        <v>228</v>
      </c>
      <c r="E79" s="13">
        <v>11.05</v>
      </c>
      <c r="F79" s="14" t="s">
        <v>229</v>
      </c>
      <c r="G79" s="5">
        <f>IF(E79&gt;=0, E79, "")</f>
        <v>11.05</v>
      </c>
      <c r="H79" s="5" t="str">
        <f>IF(E79&lt;0, E79, "")</f>
        <v/>
      </c>
    </row>
    <row r="80" spans="1:8" hidden="1">
      <c r="A80" s="6">
        <v>46074</v>
      </c>
      <c r="B80" s="7" t="s">
        <v>230</v>
      </c>
      <c r="C80" s="12" t="s">
        <v>231</v>
      </c>
      <c r="D80" s="13" t="s">
        <v>232</v>
      </c>
      <c r="E80" s="13">
        <v>3</v>
      </c>
      <c r="F80" s="14" t="s">
        <v>233</v>
      </c>
      <c r="G80" s="5">
        <f>IF(E80&gt;=0, E80, "")</f>
        <v>3</v>
      </c>
      <c r="H80" s="5" t="str">
        <f>IF(E80&lt;0, E80, "")</f>
        <v/>
      </c>
    </row>
    <row r="81" spans="1:8" hidden="1">
      <c r="A81" s="6">
        <v>46073</v>
      </c>
      <c r="B81" s="7" t="s">
        <v>70</v>
      </c>
      <c r="C81" s="12" t="s">
        <v>234</v>
      </c>
      <c r="D81" s="13" t="s">
        <v>232</v>
      </c>
      <c r="E81" s="13">
        <v>3</v>
      </c>
      <c r="F81" s="14" t="s">
        <v>235</v>
      </c>
      <c r="G81" s="5">
        <f>IF(E81&gt;=0, E81, "")</f>
        <v>3</v>
      </c>
      <c r="H81" s="5" t="str">
        <f>IF(E81&lt;0, E81, "")</f>
        <v/>
      </c>
    </row>
    <row r="82" spans="1:8" ht="14.25">
      <c r="A82" s="6">
        <v>46032</v>
      </c>
      <c r="B82" s="7" t="s">
        <v>65</v>
      </c>
      <c r="C82" s="8" t="s">
        <v>66</v>
      </c>
      <c r="D82" s="9" t="s">
        <v>405</v>
      </c>
      <c r="E82" s="10">
        <v>-25</v>
      </c>
      <c r="F82" s="11" t="s">
        <v>406</v>
      </c>
      <c r="G82" s="5" t="str">
        <f>IF(E82&gt;=0, E82, "")</f>
        <v/>
      </c>
      <c r="H82" s="37">
        <f>IF(E82&lt;0, E82, "")</f>
        <v>-25</v>
      </c>
    </row>
    <row r="83" spans="1:8" ht="14.25">
      <c r="A83" s="6">
        <v>46051</v>
      </c>
      <c r="B83" s="7" t="s">
        <v>272</v>
      </c>
      <c r="C83" s="8" t="s">
        <v>333</v>
      </c>
      <c r="D83" s="9" t="s">
        <v>334</v>
      </c>
      <c r="E83" s="10">
        <v>-250</v>
      </c>
      <c r="F83" s="11" t="s">
        <v>335</v>
      </c>
      <c r="G83" s="5" t="str">
        <f>IF(E83&gt;=0, E83, "")</f>
        <v/>
      </c>
      <c r="H83" s="47">
        <f>IF(E83&lt;0, E83, "")</f>
        <v>-250</v>
      </c>
    </row>
    <row r="84" spans="1:8" ht="14.25">
      <c r="A84" s="6">
        <v>46038</v>
      </c>
      <c r="B84" s="7" t="s">
        <v>272</v>
      </c>
      <c r="C84" s="8" t="s">
        <v>391</v>
      </c>
      <c r="D84" s="9" t="s">
        <v>392</v>
      </c>
      <c r="E84" s="10">
        <v>-100</v>
      </c>
      <c r="F84" s="11" t="s">
        <v>393</v>
      </c>
      <c r="G84" s="5" t="str">
        <f>IF(E84&gt;=0, E84, "")</f>
        <v/>
      </c>
      <c r="H84" s="37">
        <f>IF(E84&lt;0, E84, "")</f>
        <v>-100</v>
      </c>
    </row>
    <row r="85" spans="1:8" ht="14.25">
      <c r="A85" s="6">
        <v>46014</v>
      </c>
      <c r="B85" s="7" t="s">
        <v>272</v>
      </c>
      <c r="C85" s="8" t="s">
        <v>473</v>
      </c>
      <c r="D85" s="9" t="s">
        <v>471</v>
      </c>
      <c r="E85" s="10">
        <v>-100</v>
      </c>
      <c r="F85" s="11" t="s">
        <v>474</v>
      </c>
      <c r="G85" s="5" t="str">
        <f>IF(E85&gt;=0, E85, "")</f>
        <v/>
      </c>
      <c r="H85" s="37">
        <f>IF(E85&lt;0, E85, "")</f>
        <v>-100</v>
      </c>
    </row>
    <row r="86" spans="1:8" ht="14.25">
      <c r="A86" s="6">
        <v>46022</v>
      </c>
      <c r="B86" s="7" t="s">
        <v>272</v>
      </c>
      <c r="C86" s="8" t="s">
        <v>444</v>
      </c>
      <c r="D86" s="9" t="s">
        <v>299</v>
      </c>
      <c r="E86" s="10">
        <v>-50</v>
      </c>
      <c r="F86" s="11" t="s">
        <v>445</v>
      </c>
      <c r="G86" s="5" t="str">
        <f>IF(E86&gt;=0, E86, "")</f>
        <v/>
      </c>
      <c r="H86" s="37">
        <f>IF(E86&lt;0, E86, "")</f>
        <v>-50</v>
      </c>
    </row>
    <row r="87" spans="1:8" ht="14.25">
      <c r="A87" s="6">
        <v>46027</v>
      </c>
      <c r="B87" s="7" t="s">
        <v>416</v>
      </c>
      <c r="C87" s="8" t="s">
        <v>417</v>
      </c>
      <c r="D87" s="9" t="s">
        <v>418</v>
      </c>
      <c r="E87" s="10">
        <v>-105</v>
      </c>
      <c r="F87" s="11" t="s">
        <v>419</v>
      </c>
      <c r="G87" s="5" t="str">
        <f>IF(E87&gt;=0, E87, "")</f>
        <v/>
      </c>
      <c r="H87" s="37">
        <f>IF(E87&lt;0, E87, "")</f>
        <v>-105</v>
      </c>
    </row>
    <row r="88" spans="1:8" hidden="1">
      <c r="A88" s="6">
        <v>46070</v>
      </c>
      <c r="B88" s="7" t="s">
        <v>12</v>
      </c>
      <c r="C88" s="12" t="s">
        <v>252</v>
      </c>
      <c r="D88" s="13" t="s">
        <v>253</v>
      </c>
      <c r="E88" s="13">
        <v>200</v>
      </c>
      <c r="F88" s="14" t="s">
        <v>254</v>
      </c>
      <c r="G88" s="5">
        <f>IF(E88&gt;=0, E88, "")</f>
        <v>200</v>
      </c>
      <c r="H88" s="5" t="str">
        <f>IF(E88&lt;0, E88, "")</f>
        <v/>
      </c>
    </row>
    <row r="89" spans="1:8" ht="14.25">
      <c r="A89" s="6">
        <v>46027</v>
      </c>
      <c r="B89" s="7" t="s">
        <v>428</v>
      </c>
      <c r="C89" s="8" t="s">
        <v>429</v>
      </c>
      <c r="D89" s="9" t="s">
        <v>430</v>
      </c>
      <c r="E89" s="10">
        <v>-27</v>
      </c>
      <c r="F89" s="11" t="s">
        <v>431</v>
      </c>
      <c r="G89" s="5" t="str">
        <f>IF(E89&gt;=0, E89, "")</f>
        <v/>
      </c>
      <c r="H89" s="37">
        <f>IF(E89&lt;0, E89, "")</f>
        <v>-27</v>
      </c>
    </row>
    <row r="90" spans="1:8" ht="14.25">
      <c r="A90" s="6">
        <v>46093</v>
      </c>
      <c r="B90" s="7" t="s">
        <v>31</v>
      </c>
      <c r="C90" s="8" t="s">
        <v>173</v>
      </c>
      <c r="D90" s="9" t="s">
        <v>38</v>
      </c>
      <c r="E90" s="10">
        <v>-30</v>
      </c>
      <c r="F90" s="11" t="s">
        <v>174</v>
      </c>
      <c r="G90" s="5" t="str">
        <f>IF(E90&gt;=0, E90, "")</f>
        <v/>
      </c>
      <c r="H90" s="37">
        <f>IF(E90&lt;0, E90, "")</f>
        <v>-30</v>
      </c>
    </row>
    <row r="91" spans="1:8" ht="14.25">
      <c r="A91" s="6">
        <v>46082</v>
      </c>
      <c r="B91" s="7" t="s">
        <v>31</v>
      </c>
      <c r="C91" s="8" t="s">
        <v>173</v>
      </c>
      <c r="D91" s="9" t="s">
        <v>130</v>
      </c>
      <c r="E91" s="10">
        <v>-25</v>
      </c>
      <c r="F91" s="11" t="s">
        <v>212</v>
      </c>
      <c r="G91" s="5" t="str">
        <f>IF(E91&gt;=0, E91, "")</f>
        <v/>
      </c>
      <c r="H91" s="37">
        <f>IF(E91&lt;0, E91, "")</f>
        <v>-25</v>
      </c>
    </row>
    <row r="92" spans="1:8" hidden="1">
      <c r="A92" s="6">
        <v>46069</v>
      </c>
      <c r="B92" s="7" t="s">
        <v>12</v>
      </c>
      <c r="C92" s="12" t="s">
        <v>252</v>
      </c>
      <c r="D92" s="13" t="s">
        <v>265</v>
      </c>
      <c r="E92" s="13">
        <v>150</v>
      </c>
      <c r="F92" s="14" t="s">
        <v>266</v>
      </c>
      <c r="G92" s="5">
        <f>IF(E92&gt;=0, E92, "")</f>
        <v>150</v>
      </c>
      <c r="H92" s="5" t="str">
        <f>IF(E92&lt;0, E92, "")</f>
        <v/>
      </c>
    </row>
    <row r="93" spans="1:8" hidden="1">
      <c r="A93" s="6">
        <v>46067</v>
      </c>
      <c r="B93" s="7" t="s">
        <v>70</v>
      </c>
      <c r="C93" s="12" t="s">
        <v>234</v>
      </c>
      <c r="D93" s="13" t="s">
        <v>267</v>
      </c>
      <c r="E93" s="13">
        <v>6</v>
      </c>
      <c r="F93" s="14" t="s">
        <v>268</v>
      </c>
      <c r="G93" s="5">
        <f>IF(E93&gt;=0, E93, "")</f>
        <v>6</v>
      </c>
      <c r="H93" s="5" t="str">
        <f>IF(E93&lt;0, E93, "")</f>
        <v/>
      </c>
    </row>
    <row r="94" spans="1:8" hidden="1">
      <c r="A94" s="6">
        <v>46066</v>
      </c>
      <c r="B94" s="7" t="s">
        <v>12</v>
      </c>
      <c r="C94" s="12" t="s">
        <v>20</v>
      </c>
      <c r="D94" s="13" t="s">
        <v>118</v>
      </c>
      <c r="E94" s="13">
        <v>50</v>
      </c>
      <c r="F94" s="14" t="s">
        <v>269</v>
      </c>
      <c r="G94" s="5">
        <f>IF(E94&gt;=0, E94, "")</f>
        <v>50</v>
      </c>
      <c r="H94" s="5" t="str">
        <f>IF(E94&lt;0, E94, "")</f>
        <v/>
      </c>
    </row>
    <row r="95" spans="1:8" ht="14.25">
      <c r="A95" s="6">
        <v>46098</v>
      </c>
      <c r="B95" s="7" t="s">
        <v>31</v>
      </c>
      <c r="C95" s="8" t="s">
        <v>166</v>
      </c>
      <c r="D95" s="9" t="s">
        <v>167</v>
      </c>
      <c r="E95" s="10">
        <v>-30</v>
      </c>
      <c r="F95" s="11" t="s">
        <v>168</v>
      </c>
      <c r="G95" s="5" t="str">
        <f>IF(E95&gt;=0, E95, "")</f>
        <v/>
      </c>
      <c r="H95" s="37">
        <f>IF(E95&lt;0, E95, "")</f>
        <v>-30</v>
      </c>
    </row>
    <row r="96" spans="1:8" ht="14.25">
      <c r="A96" s="6">
        <v>46090</v>
      </c>
      <c r="B96" s="7" t="s">
        <v>31</v>
      </c>
      <c r="C96" s="8" t="s">
        <v>180</v>
      </c>
      <c r="D96" s="9" t="s">
        <v>181</v>
      </c>
      <c r="E96" s="10">
        <v>-50</v>
      </c>
      <c r="F96" s="11" t="s">
        <v>182</v>
      </c>
      <c r="G96" s="5" t="str">
        <f>IF(E96&gt;=0, E96, "")</f>
        <v/>
      </c>
      <c r="H96" s="37">
        <f>IF(E96&lt;0, E96, "")</f>
        <v>-50</v>
      </c>
    </row>
    <row r="97" spans="1:8" hidden="1">
      <c r="A97" s="6">
        <v>46065</v>
      </c>
      <c r="B97" s="7" t="s">
        <v>276</v>
      </c>
      <c r="C97" s="12" t="s">
        <v>277</v>
      </c>
      <c r="D97" s="13" t="s">
        <v>278</v>
      </c>
      <c r="E97" s="13">
        <v>200</v>
      </c>
      <c r="F97" s="14" t="s">
        <v>279</v>
      </c>
      <c r="G97" s="5">
        <f>IF(E97&gt;=0, E97, "")</f>
        <v>200</v>
      </c>
      <c r="H97" s="5" t="str">
        <f>IF(E97&lt;0, E97, "")</f>
        <v/>
      </c>
    </row>
    <row r="98" spans="1:8" ht="14.25">
      <c r="A98" s="6">
        <v>46056</v>
      </c>
      <c r="B98" s="7" t="s">
        <v>31</v>
      </c>
      <c r="C98" s="8" t="s">
        <v>307</v>
      </c>
      <c r="D98" s="9" t="s">
        <v>308</v>
      </c>
      <c r="E98" s="10">
        <v>-50</v>
      </c>
      <c r="F98" s="11" t="s">
        <v>309</v>
      </c>
      <c r="G98" s="5" t="str">
        <f>IF(E98&gt;=0, E98, "")</f>
        <v/>
      </c>
      <c r="H98" s="37">
        <f>IF(E98&lt;0, E98, "")</f>
        <v>-50</v>
      </c>
    </row>
    <row r="99" spans="1:8" ht="14.25">
      <c r="A99" s="6">
        <v>46102</v>
      </c>
      <c r="B99" s="7" t="s">
        <v>31</v>
      </c>
      <c r="C99" s="8" t="s">
        <v>144</v>
      </c>
      <c r="D99" s="9" t="s">
        <v>145</v>
      </c>
      <c r="E99" s="10">
        <v>-25</v>
      </c>
      <c r="F99" s="11" t="s">
        <v>146</v>
      </c>
      <c r="G99" s="5" t="str">
        <f>IF(E99&gt;=0, E99, "")</f>
        <v/>
      </c>
      <c r="H99" s="37">
        <f>IF(E99&lt;0, E99, "")</f>
        <v>-25</v>
      </c>
    </row>
    <row r="100" spans="1:8" hidden="1">
      <c r="A100" s="6">
        <v>46062</v>
      </c>
      <c r="B100" s="7" t="s">
        <v>285</v>
      </c>
      <c r="C100" s="12" t="s">
        <v>286</v>
      </c>
      <c r="D100" s="13" t="s">
        <v>287</v>
      </c>
      <c r="E100" s="13">
        <v>3</v>
      </c>
      <c r="F100" s="14" t="s">
        <v>288</v>
      </c>
      <c r="G100" s="5">
        <f>IF(E100&gt;=0, E100, "")</f>
        <v>3</v>
      </c>
      <c r="H100" s="5" t="str">
        <f>IF(E100&lt;0, E100, "")</f>
        <v/>
      </c>
    </row>
    <row r="101" spans="1:8" hidden="1">
      <c r="A101" s="6">
        <v>46062</v>
      </c>
      <c r="B101" s="7" t="s">
        <v>289</v>
      </c>
      <c r="C101" s="12" t="s">
        <v>277</v>
      </c>
      <c r="D101" s="13" t="s">
        <v>290</v>
      </c>
      <c r="E101" s="13">
        <v>100</v>
      </c>
      <c r="F101" s="14" t="s">
        <v>291</v>
      </c>
      <c r="G101" s="5">
        <f>IF(E101&gt;=0, E101, "")</f>
        <v>100</v>
      </c>
      <c r="H101" s="5" t="str">
        <f>IF(E101&lt;0, E101, "")</f>
        <v/>
      </c>
    </row>
    <row r="102" spans="1:8" ht="14.25">
      <c r="A102" s="6">
        <v>46144</v>
      </c>
      <c r="B102" s="7" t="s">
        <v>31</v>
      </c>
      <c r="C102" s="8" t="s">
        <v>32</v>
      </c>
      <c r="D102" s="9" t="s">
        <v>33</v>
      </c>
      <c r="E102" s="10">
        <v>-25</v>
      </c>
      <c r="F102" s="11" t="s">
        <v>34</v>
      </c>
      <c r="G102" s="5" t="str">
        <f>IF(E102&gt;=0, E102, "")</f>
        <v/>
      </c>
      <c r="H102" s="37">
        <f>IF(E102&lt;0, E102, "")</f>
        <v>-25</v>
      </c>
    </row>
    <row r="103" spans="1:8" hidden="1">
      <c r="A103" s="6">
        <v>46061</v>
      </c>
      <c r="B103" s="7" t="s">
        <v>86</v>
      </c>
      <c r="C103" s="12" t="s">
        <v>294</v>
      </c>
      <c r="D103" s="13" t="s">
        <v>295</v>
      </c>
      <c r="E103" s="13">
        <v>3</v>
      </c>
      <c r="F103" s="14" t="s">
        <v>296</v>
      </c>
      <c r="G103" s="5">
        <f>IF(E103&gt;=0, E103, "")</f>
        <v>3</v>
      </c>
      <c r="H103" s="5" t="str">
        <f>IF(E103&lt;0, E103, "")</f>
        <v/>
      </c>
    </row>
    <row r="104" spans="1:8" ht="14.25">
      <c r="A104" s="6">
        <v>46105</v>
      </c>
      <c r="B104" s="7" t="s">
        <v>31</v>
      </c>
      <c r="C104" s="8" t="s">
        <v>32</v>
      </c>
      <c r="D104" s="9" t="s">
        <v>130</v>
      </c>
      <c r="E104" s="10">
        <v>-25</v>
      </c>
      <c r="F104" s="11" t="s">
        <v>131</v>
      </c>
      <c r="G104" s="5" t="str">
        <f>IF(E104&gt;=0, E104, "")</f>
        <v/>
      </c>
      <c r="H104" s="37">
        <f>IF(E104&lt;0, E104, "")</f>
        <v>-25</v>
      </c>
    </row>
    <row r="105" spans="1:8" ht="14.25">
      <c r="A105" s="6">
        <v>46140</v>
      </c>
      <c r="B105" s="7" t="s">
        <v>48</v>
      </c>
      <c r="C105" s="8" t="s">
        <v>49</v>
      </c>
      <c r="D105" s="9" t="s">
        <v>50</v>
      </c>
      <c r="E105" s="10">
        <v>-40</v>
      </c>
      <c r="F105" s="11" t="s">
        <v>51</v>
      </c>
      <c r="G105" s="5" t="str">
        <f>IF(E105&gt;=0, E105, "")</f>
        <v/>
      </c>
      <c r="H105" s="37">
        <f>IF(E105&lt;0, E105, "")</f>
        <v>-40</v>
      </c>
    </row>
    <row r="106" spans="1:8" ht="14.25">
      <c r="A106" s="6">
        <v>46041</v>
      </c>
      <c r="B106" s="7" t="s">
        <v>31</v>
      </c>
      <c r="C106" s="8" t="s">
        <v>383</v>
      </c>
      <c r="D106" s="9" t="s">
        <v>384</v>
      </c>
      <c r="E106" s="10">
        <v>-30</v>
      </c>
      <c r="F106" s="11" t="s">
        <v>385</v>
      </c>
      <c r="G106" s="5" t="str">
        <f>IF(E106&gt;=0, E106, "")</f>
        <v/>
      </c>
      <c r="H106" s="37">
        <f>IF(E106&lt;0, E106, "")</f>
        <v>-30</v>
      </c>
    </row>
    <row r="107" spans="1:8" hidden="1">
      <c r="A107" s="6">
        <v>46058</v>
      </c>
      <c r="B107" s="7" t="s">
        <v>303</v>
      </c>
      <c r="C107" s="12" t="s">
        <v>277</v>
      </c>
      <c r="D107" s="13" t="s">
        <v>290</v>
      </c>
      <c r="E107" s="13">
        <v>100</v>
      </c>
      <c r="F107" s="14" t="s">
        <v>304</v>
      </c>
      <c r="G107" s="5">
        <f>IF(E107&gt;=0, E107, "")</f>
        <v>100</v>
      </c>
      <c r="H107" s="5" t="str">
        <f>IF(E107&lt;0, E107, "")</f>
        <v/>
      </c>
    </row>
    <row r="108" spans="1:8" hidden="1">
      <c r="A108" s="6">
        <v>46058</v>
      </c>
      <c r="B108" s="7" t="s">
        <v>305</v>
      </c>
      <c r="C108" s="12" t="s">
        <v>277</v>
      </c>
      <c r="D108" s="13" t="s">
        <v>278</v>
      </c>
      <c r="E108" s="13">
        <v>200</v>
      </c>
      <c r="F108" s="14" t="s">
        <v>306</v>
      </c>
      <c r="G108" s="5">
        <f>IF(E108&gt;=0, E108, "")</f>
        <v>200</v>
      </c>
      <c r="H108" s="5" t="str">
        <f>IF(E108&lt;0, E108, "")</f>
        <v/>
      </c>
    </row>
    <row r="109" spans="1:8" ht="14.25">
      <c r="A109" s="6">
        <v>46013</v>
      </c>
      <c r="B109" s="7" t="s">
        <v>31</v>
      </c>
      <c r="C109" s="8" t="s">
        <v>383</v>
      </c>
      <c r="D109" s="9" t="s">
        <v>475</v>
      </c>
      <c r="E109" s="10">
        <v>-50</v>
      </c>
      <c r="F109" s="11" t="s">
        <v>476</v>
      </c>
      <c r="G109" s="5" t="str">
        <f>IF(E109&gt;=0, E109, "")</f>
        <v/>
      </c>
      <c r="H109" s="47">
        <f>IF(E109&lt;0, E109, "")</f>
        <v>-50</v>
      </c>
    </row>
    <row r="110" spans="1:8" ht="14.25">
      <c r="A110" s="6">
        <v>46101</v>
      </c>
      <c r="B110" s="7" t="s">
        <v>31</v>
      </c>
      <c r="C110" s="8" t="s">
        <v>147</v>
      </c>
      <c r="D110" s="9" t="s">
        <v>148</v>
      </c>
      <c r="E110" s="10">
        <v>-30</v>
      </c>
      <c r="F110" s="11" t="s">
        <v>149</v>
      </c>
      <c r="G110" s="5" t="str">
        <f>IF(E110&gt;=0, E110, "")</f>
        <v/>
      </c>
      <c r="H110" s="37">
        <f>IF(E110&lt;0, E110, "")</f>
        <v>-30</v>
      </c>
    </row>
    <row r="111" spans="1:8" ht="14.25">
      <c r="A111" s="6">
        <v>46077</v>
      </c>
      <c r="B111" s="7" t="s">
        <v>31</v>
      </c>
      <c r="C111" s="8" t="s">
        <v>147</v>
      </c>
      <c r="D111" s="9" t="s">
        <v>178</v>
      </c>
      <c r="E111" s="10">
        <v>-25</v>
      </c>
      <c r="F111" s="11" t="s">
        <v>222</v>
      </c>
      <c r="G111" s="5" t="str">
        <f>IF(E111&gt;=0, E111, "")</f>
        <v/>
      </c>
      <c r="H111" s="37">
        <f>IF(E111&lt;0, E111, "")</f>
        <v>-25</v>
      </c>
    </row>
    <row r="112" spans="1:8" hidden="1">
      <c r="A112" s="6">
        <v>46055</v>
      </c>
      <c r="B112" s="7" t="s">
        <v>315</v>
      </c>
      <c r="C112" s="12" t="s">
        <v>316</v>
      </c>
      <c r="D112" s="13" t="s">
        <v>317</v>
      </c>
      <c r="E112" s="13">
        <v>5.38</v>
      </c>
      <c r="F112" s="14" t="s">
        <v>318</v>
      </c>
      <c r="G112" s="5">
        <f>IF(E112&gt;=0, E112, "")</f>
        <v>5.38</v>
      </c>
      <c r="H112" s="5" t="str">
        <f>IF(E112&lt;0, E112, "")</f>
        <v/>
      </c>
    </row>
    <row r="113" spans="1:8" ht="14.25">
      <c r="A113" s="6">
        <v>46072</v>
      </c>
      <c r="B113" s="7" t="s">
        <v>31</v>
      </c>
      <c r="C113" s="8" t="s">
        <v>147</v>
      </c>
      <c r="D113" s="9" t="s">
        <v>130</v>
      </c>
      <c r="E113" s="10">
        <v>-30</v>
      </c>
      <c r="F113" s="11" t="s">
        <v>241</v>
      </c>
      <c r="G113" s="5" t="str">
        <f>IF(E113&gt;=0, E113, "")</f>
        <v/>
      </c>
      <c r="H113" s="37">
        <f>IF(E113&lt;0, E113, "")</f>
        <v>-30</v>
      </c>
    </row>
    <row r="114" spans="1:8" hidden="1">
      <c r="A114" s="29">
        <v>46055</v>
      </c>
      <c r="B114" s="30" t="s">
        <v>322</v>
      </c>
      <c r="C114" s="16" t="s">
        <v>323</v>
      </c>
      <c r="D114" s="13" t="s">
        <v>324</v>
      </c>
      <c r="E114" s="31">
        <v>100</v>
      </c>
      <c r="F114" s="32" t="s">
        <v>325</v>
      </c>
      <c r="G114" s="33">
        <f>IF(E114&gt;=0, E114, "")</f>
        <v>100</v>
      </c>
      <c r="H114" s="33" t="str">
        <f>IF(E114&lt;0, E114, "")</f>
        <v/>
      </c>
    </row>
    <row r="115" spans="1:8" ht="14.25">
      <c r="A115" s="6">
        <v>46059</v>
      </c>
      <c r="B115" s="7" t="s">
        <v>31</v>
      </c>
      <c r="C115" s="8" t="s">
        <v>147</v>
      </c>
      <c r="D115" s="9" t="s">
        <v>301</v>
      </c>
      <c r="E115" s="10">
        <v>-30</v>
      </c>
      <c r="F115" s="11" t="s">
        <v>302</v>
      </c>
      <c r="G115" s="5" t="str">
        <f>IF(E115&gt;=0, E115, "")</f>
        <v/>
      </c>
      <c r="H115" s="37">
        <f>IF(E115&lt;0, E115, "")</f>
        <v>-30</v>
      </c>
    </row>
    <row r="116" spans="1:8" hidden="1">
      <c r="A116" s="29">
        <v>46052</v>
      </c>
      <c r="B116" s="30" t="s">
        <v>330</v>
      </c>
      <c r="C116" s="16" t="s">
        <v>331</v>
      </c>
      <c r="D116" s="13" t="s">
        <v>324</v>
      </c>
      <c r="E116" s="31">
        <v>100</v>
      </c>
      <c r="F116" s="32" t="s">
        <v>332</v>
      </c>
      <c r="G116" s="33">
        <f>IF(E116&gt;=0, E116, "")</f>
        <v>100</v>
      </c>
      <c r="H116" s="33" t="str">
        <f>IF(E116&lt;0, E116, "")</f>
        <v/>
      </c>
    </row>
    <row r="117" spans="1:8" ht="14.25">
      <c r="A117" s="6">
        <v>46105</v>
      </c>
      <c r="B117" s="7" t="s">
        <v>31</v>
      </c>
      <c r="C117" s="8" t="s">
        <v>137</v>
      </c>
      <c r="D117" s="9" t="s">
        <v>138</v>
      </c>
      <c r="E117" s="10">
        <v>-40</v>
      </c>
      <c r="F117" s="11" t="s">
        <v>139</v>
      </c>
      <c r="G117" s="5" t="str">
        <f>IF(E117&gt;=0, E117, "")</f>
        <v/>
      </c>
      <c r="H117" s="37">
        <f>IF(E117&lt;0, E117, "")</f>
        <v>-40</v>
      </c>
    </row>
    <row r="118" spans="1:8" hidden="1">
      <c r="A118" s="6">
        <v>46051</v>
      </c>
      <c r="B118" s="7" t="s">
        <v>12</v>
      </c>
      <c r="C118" s="12" t="s">
        <v>336</v>
      </c>
      <c r="D118" s="13" t="s">
        <v>337</v>
      </c>
      <c r="E118" s="13">
        <v>300</v>
      </c>
      <c r="F118" s="14" t="s">
        <v>338</v>
      </c>
      <c r="G118" s="5">
        <f>IF(E118&gt;=0, E118, "")</f>
        <v>300</v>
      </c>
      <c r="H118" s="5" t="str">
        <f>IF(E118&lt;0, E118, "")</f>
        <v/>
      </c>
    </row>
    <row r="119" spans="1:8" hidden="1">
      <c r="A119" s="6">
        <v>46050</v>
      </c>
      <c r="B119" s="7" t="s">
        <v>339</v>
      </c>
      <c r="C119" s="12" t="s">
        <v>340</v>
      </c>
      <c r="D119" s="13" t="s">
        <v>341</v>
      </c>
      <c r="E119" s="13">
        <v>3</v>
      </c>
      <c r="F119" s="14" t="s">
        <v>342</v>
      </c>
      <c r="G119" s="5">
        <f>IF(E119&gt;=0, E119, "")</f>
        <v>3</v>
      </c>
      <c r="H119" s="5" t="str">
        <f>IF(E119&lt;0, E119, "")</f>
        <v/>
      </c>
    </row>
    <row r="120" spans="1:8" hidden="1">
      <c r="A120" s="6">
        <v>46050</v>
      </c>
      <c r="B120" s="7" t="s">
        <v>44</v>
      </c>
      <c r="C120" s="12" t="s">
        <v>203</v>
      </c>
      <c r="D120" s="13" t="s">
        <v>343</v>
      </c>
      <c r="E120" s="13">
        <v>3</v>
      </c>
      <c r="F120" s="14" t="s">
        <v>344</v>
      </c>
      <c r="G120" s="5">
        <f>IF(E120&gt;=0, E120, "")</f>
        <v>3</v>
      </c>
      <c r="H120" s="5" t="str">
        <f>IF(E120&lt;0, E120, "")</f>
        <v/>
      </c>
    </row>
    <row r="121" spans="1:8" ht="14.25">
      <c r="A121" s="6">
        <v>46085</v>
      </c>
      <c r="B121" s="7" t="s">
        <v>196</v>
      </c>
      <c r="C121" s="8" t="s">
        <v>197</v>
      </c>
      <c r="D121" s="9" t="s">
        <v>198</v>
      </c>
      <c r="E121" s="10">
        <v>-20</v>
      </c>
      <c r="F121" s="11" t="s">
        <v>199</v>
      </c>
      <c r="G121" s="5" t="str">
        <f>IF(E121&gt;=0, E121, "")</f>
        <v/>
      </c>
      <c r="H121" s="37">
        <f>IF(E121&lt;0, E121, "")</f>
        <v>-20</v>
      </c>
    </row>
    <row r="122" spans="1:8" ht="14.25">
      <c r="A122" s="6">
        <v>45999</v>
      </c>
      <c r="B122" s="7" t="s">
        <v>562</v>
      </c>
      <c r="C122" s="8" t="s">
        <v>563</v>
      </c>
      <c r="D122" s="9" t="s">
        <v>564</v>
      </c>
      <c r="E122" s="10">
        <v>-70</v>
      </c>
      <c r="F122" s="11" t="s">
        <v>565</v>
      </c>
      <c r="G122" s="5" t="str">
        <f>IF(E122&gt;=0, E122, "")</f>
        <v/>
      </c>
      <c r="H122" s="37">
        <f>IF(E122&lt;0, E122, "")</f>
        <v>-70</v>
      </c>
    </row>
    <row r="123" spans="1:8" ht="14.25">
      <c r="A123" s="6">
        <v>46071</v>
      </c>
      <c r="B123" s="7" t="s">
        <v>31</v>
      </c>
      <c r="C123" s="8" t="s">
        <v>246</v>
      </c>
      <c r="D123" s="9" t="s">
        <v>97</v>
      </c>
      <c r="E123" s="10">
        <v>-25</v>
      </c>
      <c r="F123" s="11" t="s">
        <v>247</v>
      </c>
      <c r="G123" s="5" t="str">
        <f>IF(E123&gt;=0, E123, "")</f>
        <v/>
      </c>
      <c r="H123" s="37">
        <f>IF(E123&lt;0, E123, "")</f>
        <v>-25</v>
      </c>
    </row>
    <row r="124" spans="1:8" ht="14.25">
      <c r="A124" s="6">
        <v>46142</v>
      </c>
      <c r="B124" s="7" t="s">
        <v>31</v>
      </c>
      <c r="C124" s="8" t="s">
        <v>37</v>
      </c>
      <c r="D124" s="9" t="s">
        <v>38</v>
      </c>
      <c r="E124" s="10">
        <v>-30</v>
      </c>
      <c r="F124" s="11" t="s">
        <v>39</v>
      </c>
      <c r="G124" s="5" t="str">
        <f>IF(E124&gt;=0, E124, "")</f>
        <v/>
      </c>
      <c r="H124" s="37">
        <f>IF(E124&lt;0, E124, "")</f>
        <v>-30</v>
      </c>
    </row>
    <row r="125" spans="1:8" ht="14.25">
      <c r="A125" s="6">
        <v>46028</v>
      </c>
      <c r="B125" s="7" t="s">
        <v>31</v>
      </c>
      <c r="C125" s="8" t="s">
        <v>414</v>
      </c>
      <c r="D125" s="9" t="s">
        <v>299</v>
      </c>
      <c r="E125" s="10">
        <v>-50</v>
      </c>
      <c r="F125" s="11" t="s">
        <v>415</v>
      </c>
      <c r="G125" s="5" t="str">
        <f>IF(E125&gt;=0, E125, "")</f>
        <v/>
      </c>
      <c r="H125" s="37">
        <f>IF(E125&lt;0, E125, "")</f>
        <v>-50</v>
      </c>
    </row>
    <row r="126" spans="1:8" hidden="1">
      <c r="A126" s="6">
        <v>46046</v>
      </c>
      <c r="B126" s="7" t="s">
        <v>12</v>
      </c>
      <c r="C126" s="12" t="s">
        <v>20</v>
      </c>
      <c r="D126" s="13" t="s">
        <v>359</v>
      </c>
      <c r="E126" s="13">
        <v>200</v>
      </c>
      <c r="F126" s="14" t="s">
        <v>360</v>
      </c>
      <c r="G126" s="5">
        <f>IF(E126&gt;=0, E126, "")</f>
        <v>200</v>
      </c>
      <c r="H126" s="5" t="str">
        <f>IF(E126&lt;0, E126, "")</f>
        <v/>
      </c>
    </row>
    <row r="127" spans="1:8" ht="14.25">
      <c r="A127" s="6">
        <v>46045</v>
      </c>
      <c r="B127" s="7" t="s">
        <v>255</v>
      </c>
      <c r="C127" s="8" t="s">
        <v>367</v>
      </c>
      <c r="D127" s="9" t="s">
        <v>368</v>
      </c>
      <c r="E127" s="10">
        <v>-50</v>
      </c>
      <c r="F127" s="11" t="s">
        <v>369</v>
      </c>
      <c r="G127" s="5" t="str">
        <f>IF(E127&gt;=0, E127, "")</f>
        <v/>
      </c>
      <c r="H127" s="37">
        <f>IF(E127&lt;0, E127, "")</f>
        <v>-50</v>
      </c>
    </row>
    <row r="128" spans="1:8" hidden="1">
      <c r="A128" s="6">
        <v>46046</v>
      </c>
      <c r="B128" s="7" t="s">
        <v>364</v>
      </c>
      <c r="C128" s="12" t="s">
        <v>277</v>
      </c>
      <c r="D128" s="13" t="s">
        <v>365</v>
      </c>
      <c r="E128" s="13">
        <v>200</v>
      </c>
      <c r="F128" s="14" t="s">
        <v>366</v>
      </c>
      <c r="G128" s="5">
        <f>IF(E128&gt;=0, E128, "")</f>
        <v>200</v>
      </c>
      <c r="H128" s="5" t="str">
        <f>IF(E128&lt;0, E128, "")</f>
        <v/>
      </c>
    </row>
    <row r="129" spans="1:8" ht="14.25">
      <c r="A129" s="6">
        <v>46110</v>
      </c>
      <c r="B129" s="7" t="s">
        <v>107</v>
      </c>
      <c r="C129" s="8" t="s">
        <v>108</v>
      </c>
      <c r="D129" s="9" t="s">
        <v>109</v>
      </c>
      <c r="E129" s="10">
        <v>-25</v>
      </c>
      <c r="F129" s="11" t="s">
        <v>110</v>
      </c>
      <c r="G129" s="5" t="str">
        <f>IF(E129&gt;=0, E129, "")</f>
        <v/>
      </c>
      <c r="H129" s="37">
        <f>IF(E129&lt;0, E129, "")</f>
        <v>-25</v>
      </c>
    </row>
    <row r="130" spans="1:8" ht="14.25">
      <c r="A130" s="6">
        <v>46071</v>
      </c>
      <c r="B130" s="7" t="s">
        <v>248</v>
      </c>
      <c r="C130" s="8" t="s">
        <v>249</v>
      </c>
      <c r="D130" s="9" t="s">
        <v>250</v>
      </c>
      <c r="E130" s="10">
        <v>-11</v>
      </c>
      <c r="F130" s="11" t="s">
        <v>251</v>
      </c>
      <c r="G130" s="5" t="str">
        <f>IF(E130&gt;=0, E130, "")</f>
        <v/>
      </c>
      <c r="H130" s="37">
        <f>IF(E130&lt;0, E130, "")</f>
        <v>-11</v>
      </c>
    </row>
    <row r="131" spans="1:8" ht="14.25">
      <c r="A131" s="6">
        <v>46106</v>
      </c>
      <c r="B131" s="7" t="s">
        <v>126</v>
      </c>
      <c r="C131" s="8" t="s">
        <v>127</v>
      </c>
      <c r="D131" s="9" t="s">
        <v>128</v>
      </c>
      <c r="E131" s="10">
        <v>-1.5</v>
      </c>
      <c r="F131" s="11" t="s">
        <v>129</v>
      </c>
      <c r="G131" s="5" t="str">
        <f>IF(E131&gt;=0, E131, "")</f>
        <v/>
      </c>
      <c r="H131" s="37">
        <f>IF(E131&lt;0, E131, "")</f>
        <v>-1.5</v>
      </c>
    </row>
    <row r="132" spans="1:8" hidden="1">
      <c r="A132" s="6">
        <v>46044</v>
      </c>
      <c r="B132" s="7" t="s">
        <v>12</v>
      </c>
      <c r="C132" s="12" t="s">
        <v>20</v>
      </c>
      <c r="D132" s="13" t="s">
        <v>375</v>
      </c>
      <c r="E132" s="13">
        <v>200</v>
      </c>
      <c r="F132" s="14" t="s">
        <v>376</v>
      </c>
      <c r="G132" s="5">
        <f>IF(E132&gt;=0, E132, "")</f>
        <v>200</v>
      </c>
      <c r="H132" s="5" t="str">
        <f>IF(E132&lt;0, E132, "")</f>
        <v/>
      </c>
    </row>
    <row r="133" spans="1:8" ht="14.25">
      <c r="A133" s="6">
        <v>46105</v>
      </c>
      <c r="B133" s="7" t="s">
        <v>132</v>
      </c>
      <c r="C133" s="8" t="s">
        <v>127</v>
      </c>
      <c r="D133" s="9" t="s">
        <v>133</v>
      </c>
      <c r="E133" s="10">
        <v>-0.5</v>
      </c>
      <c r="F133" s="11" t="s">
        <v>134</v>
      </c>
      <c r="G133" s="5" t="str">
        <f>IF(E133&gt;=0, E133, "")</f>
        <v/>
      </c>
      <c r="H133" s="37">
        <f>IF(E133&lt;0, E133, "")</f>
        <v>-0.5</v>
      </c>
    </row>
    <row r="134" spans="1:8" hidden="1">
      <c r="A134" s="6">
        <v>46041</v>
      </c>
      <c r="B134" s="7" t="s">
        <v>380</v>
      </c>
      <c r="C134" s="12" t="s">
        <v>277</v>
      </c>
      <c r="D134" s="13" t="s">
        <v>381</v>
      </c>
      <c r="E134" s="13">
        <v>50</v>
      </c>
      <c r="F134" s="14" t="s">
        <v>382</v>
      </c>
      <c r="G134" s="5">
        <f>IF(E134&gt;=0, E134, "")</f>
        <v>50</v>
      </c>
      <c r="H134" s="5" t="str">
        <f>IF(E134&lt;0, E134, "")</f>
        <v/>
      </c>
    </row>
    <row r="135" spans="1:8" ht="14.25">
      <c r="A135" s="6">
        <v>46013</v>
      </c>
      <c r="B135" s="7" t="s">
        <v>489</v>
      </c>
      <c r="C135" s="8" t="s">
        <v>490</v>
      </c>
      <c r="D135" s="9" t="s">
        <v>491</v>
      </c>
      <c r="E135" s="10">
        <v>-460</v>
      </c>
      <c r="F135" s="11" t="s">
        <v>492</v>
      </c>
      <c r="G135" s="5" t="str">
        <f>IF(E135&gt;=0, E135, "")</f>
        <v/>
      </c>
      <c r="H135" s="37">
        <f>IF(E135&lt;0, E135, "")</f>
        <v>-460</v>
      </c>
    </row>
    <row r="136" spans="1:8" hidden="1">
      <c r="A136" s="6">
        <v>46041</v>
      </c>
      <c r="B136" s="7" t="s">
        <v>386</v>
      </c>
      <c r="C136" s="12" t="s">
        <v>277</v>
      </c>
      <c r="D136" s="13" t="s">
        <v>381</v>
      </c>
      <c r="E136" s="13">
        <v>50</v>
      </c>
      <c r="F136" s="14" t="s">
        <v>387</v>
      </c>
      <c r="G136" s="5">
        <f>IF(E136&gt;=0, E136, "")</f>
        <v>50</v>
      </c>
      <c r="H136" s="5" t="str">
        <f>IF(E136&lt;0, E136, "")</f>
        <v/>
      </c>
    </row>
    <row r="137" spans="1:8" hidden="1">
      <c r="A137" s="6">
        <v>46041</v>
      </c>
      <c r="B137" s="7" t="s">
        <v>230</v>
      </c>
      <c r="C137" s="12" t="s">
        <v>388</v>
      </c>
      <c r="D137" s="13" t="s">
        <v>389</v>
      </c>
      <c r="E137" s="13">
        <v>3</v>
      </c>
      <c r="F137" s="14" t="s">
        <v>390</v>
      </c>
      <c r="G137" s="5">
        <f>IF(E137&gt;=0, E137, "")</f>
        <v>3</v>
      </c>
      <c r="H137" s="5" t="str">
        <f>IF(E137&lt;0, E137, "")</f>
        <v/>
      </c>
    </row>
    <row r="138" spans="1:8" ht="14.25">
      <c r="A138" s="6">
        <v>46017</v>
      </c>
      <c r="B138" s="7" t="s">
        <v>196</v>
      </c>
      <c r="C138" s="8" t="s">
        <v>458</v>
      </c>
      <c r="D138" s="9" t="s">
        <v>459</v>
      </c>
      <c r="E138" s="10">
        <v>-9</v>
      </c>
      <c r="F138" s="11" t="s">
        <v>460</v>
      </c>
      <c r="G138" s="5" t="str">
        <f>IF(E138&gt;=0, E138, "")</f>
        <v/>
      </c>
      <c r="H138" s="37">
        <f>IF(E138&lt;0, E138, "")</f>
        <v>-9</v>
      </c>
    </row>
    <row r="139" spans="1:8" hidden="1">
      <c r="A139" s="6">
        <v>46038</v>
      </c>
      <c r="B139" s="7" t="s">
        <v>394</v>
      </c>
      <c r="C139" s="12" t="s">
        <v>395</v>
      </c>
      <c r="D139" s="13" t="s">
        <v>396</v>
      </c>
      <c r="E139" s="13">
        <v>100</v>
      </c>
      <c r="F139" s="14" t="s">
        <v>397</v>
      </c>
      <c r="G139" s="5">
        <f>IF(E139&gt;=0, E139, "")</f>
        <v>100</v>
      </c>
      <c r="H139" s="5" t="str">
        <f>IF(E139&lt;0, E139, "")</f>
        <v/>
      </c>
    </row>
    <row r="140" spans="1:8" ht="14.25">
      <c r="A140" s="6">
        <v>46013</v>
      </c>
      <c r="B140" s="7" t="s">
        <v>485</v>
      </c>
      <c r="C140" s="8" t="s">
        <v>486</v>
      </c>
      <c r="D140" s="9" t="s">
        <v>487</v>
      </c>
      <c r="E140" s="10">
        <v>-66</v>
      </c>
      <c r="F140" s="11" t="s">
        <v>488</v>
      </c>
      <c r="G140" s="5" t="str">
        <f>IF(E140&gt;=0, E140, "")</f>
        <v/>
      </c>
      <c r="H140" s="37">
        <f>IF(E140&lt;0, E140, "")</f>
        <v>-66</v>
      </c>
    </row>
    <row r="141" spans="1:8" hidden="1">
      <c r="A141" s="6">
        <v>46035</v>
      </c>
      <c r="B141" s="7" t="s">
        <v>402</v>
      </c>
      <c r="C141" s="12" t="s">
        <v>395</v>
      </c>
      <c r="D141" s="13" t="s">
        <v>403</v>
      </c>
      <c r="E141" s="13">
        <v>50</v>
      </c>
      <c r="F141" s="14" t="s">
        <v>404</v>
      </c>
      <c r="G141" s="5">
        <f>IF(E141&gt;=0, E141, "")</f>
        <v>50</v>
      </c>
      <c r="H141" s="5" t="str">
        <f>IF(E141&lt;0, E141, "")</f>
        <v/>
      </c>
    </row>
    <row r="142" spans="1:8" ht="14.25">
      <c r="A142" s="6">
        <v>46055</v>
      </c>
      <c r="B142" s="7" t="s">
        <v>255</v>
      </c>
      <c r="C142" s="8" t="s">
        <v>310</v>
      </c>
      <c r="D142" s="9" t="s">
        <v>311</v>
      </c>
      <c r="E142" s="10">
        <v>-35.520000000000003</v>
      </c>
      <c r="F142" s="11" t="s">
        <v>312</v>
      </c>
      <c r="G142" s="5" t="str">
        <f>IF(E142&gt;=0, E142, "")</f>
        <v/>
      </c>
      <c r="H142" s="37">
        <f>IF(E142&lt;0, E142, "")</f>
        <v>-35.520000000000003</v>
      </c>
    </row>
    <row r="143" spans="1:8" ht="14.25">
      <c r="A143" s="6">
        <v>46055</v>
      </c>
      <c r="B143" s="7" t="s">
        <v>255</v>
      </c>
      <c r="C143" s="8" t="s">
        <v>310</v>
      </c>
      <c r="D143" s="9" t="s">
        <v>313</v>
      </c>
      <c r="E143" s="10">
        <v>-23.66</v>
      </c>
      <c r="F143" s="11" t="s">
        <v>314</v>
      </c>
      <c r="G143" s="5" t="str">
        <f>IF(E143&gt;=0, E143, "")</f>
        <v/>
      </c>
      <c r="H143" s="37">
        <f>IF(E143&lt;0, E143, "")</f>
        <v>-23.66</v>
      </c>
    </row>
    <row r="144" spans="1:8" hidden="1">
      <c r="A144" s="6">
        <v>46031</v>
      </c>
      <c r="B144" s="7" t="s">
        <v>410</v>
      </c>
      <c r="C144" s="12" t="s">
        <v>411</v>
      </c>
      <c r="D144" s="13" t="s">
        <v>412</v>
      </c>
      <c r="E144" s="13">
        <v>100</v>
      </c>
      <c r="F144" s="14" t="s">
        <v>413</v>
      </c>
      <c r="G144" s="5">
        <f>IF(E144&gt;=0, E144, "")</f>
        <v>100</v>
      </c>
      <c r="H144" s="17" t="str">
        <f>IF(E144&lt;0, E144, "")</f>
        <v/>
      </c>
    </row>
    <row r="145" spans="1:8" ht="14.25">
      <c r="A145" s="6">
        <v>46000</v>
      </c>
      <c r="B145" s="7" t="s">
        <v>255</v>
      </c>
      <c r="C145" s="8" t="s">
        <v>560</v>
      </c>
      <c r="D145" s="9" t="s">
        <v>84</v>
      </c>
      <c r="E145" s="10">
        <v>-100</v>
      </c>
      <c r="F145" s="11" t="s">
        <v>561</v>
      </c>
      <c r="G145" s="5" t="str">
        <f>IF(E145&gt;=0, E145, "")</f>
        <v/>
      </c>
      <c r="H145" s="37">
        <f>IF(E145&lt;0, E145, "")</f>
        <v>-100</v>
      </c>
    </row>
    <row r="146" spans="1:8" ht="14.25">
      <c r="A146" s="6">
        <v>46110</v>
      </c>
      <c r="B146" s="7" t="s">
        <v>103</v>
      </c>
      <c r="C146" s="8" t="s">
        <v>104</v>
      </c>
      <c r="D146" s="9" t="s">
        <v>105</v>
      </c>
      <c r="E146" s="10">
        <v>-35</v>
      </c>
      <c r="F146" s="11" t="s">
        <v>106</v>
      </c>
      <c r="G146" s="5" t="str">
        <f>IF(E146&gt;=0, E146, "")</f>
        <v/>
      </c>
      <c r="H146" s="37">
        <f>IF(E146&lt;0, E146, "")</f>
        <v>-35</v>
      </c>
    </row>
    <row r="147" spans="1:8" ht="14.25">
      <c r="A147" s="6">
        <v>46041</v>
      </c>
      <c r="B147" s="7" t="s">
        <v>255</v>
      </c>
      <c r="C147" s="8" t="s">
        <v>377</v>
      </c>
      <c r="D147" s="9" t="s">
        <v>378</v>
      </c>
      <c r="E147" s="10">
        <v>-50</v>
      </c>
      <c r="F147" s="11" t="s">
        <v>379</v>
      </c>
      <c r="G147" s="5" t="str">
        <f>IF(E147&gt;=0, E147, "")</f>
        <v/>
      </c>
      <c r="H147" s="37">
        <f>IF(E147&lt;0, E147, "")</f>
        <v>-50</v>
      </c>
    </row>
    <row r="148" spans="1:8" ht="14.25">
      <c r="A148" s="6">
        <v>46081</v>
      </c>
      <c r="B148" s="7" t="s">
        <v>16</v>
      </c>
      <c r="C148" s="8" t="s">
        <v>213</v>
      </c>
      <c r="D148" s="9" t="s">
        <v>214</v>
      </c>
      <c r="E148" s="10">
        <v>-40</v>
      </c>
      <c r="F148" s="11" t="s">
        <v>215</v>
      </c>
      <c r="G148" s="5" t="str">
        <f>IF(E148&gt;=0, E148, "")</f>
        <v/>
      </c>
      <c r="H148" s="37">
        <f>IF(E148&lt;0, E148, "")</f>
        <v>-40</v>
      </c>
    </row>
    <row r="149" spans="1:8" ht="14.25">
      <c r="A149" s="6">
        <v>46073</v>
      </c>
      <c r="B149" s="7" t="s">
        <v>16</v>
      </c>
      <c r="C149" s="8" t="s">
        <v>213</v>
      </c>
      <c r="D149" s="9" t="s">
        <v>236</v>
      </c>
      <c r="E149" s="10">
        <v>-40</v>
      </c>
      <c r="F149" s="11" t="s">
        <v>237</v>
      </c>
      <c r="G149" s="5" t="str">
        <f>IF(E149&gt;=0, E149, "")</f>
        <v/>
      </c>
      <c r="H149" s="37">
        <f>IF(E149&lt;0, E149, "")</f>
        <v>-40</v>
      </c>
    </row>
    <row r="150" spans="1:8" hidden="1">
      <c r="A150" s="6">
        <v>46027</v>
      </c>
      <c r="B150" s="7" t="s">
        <v>432</v>
      </c>
      <c r="C150" s="12" t="s">
        <v>433</v>
      </c>
      <c r="D150" s="13" t="s">
        <v>375</v>
      </c>
      <c r="E150" s="13">
        <v>200</v>
      </c>
      <c r="F150" s="14" t="s">
        <v>434</v>
      </c>
      <c r="G150" s="5">
        <f>IF(E150&gt;=0, E150, "")</f>
        <v>200</v>
      </c>
      <c r="H150" s="5" t="str">
        <f>IF(E150&lt;0, E150, "")</f>
        <v/>
      </c>
    </row>
    <row r="151" spans="1:8" ht="14.25">
      <c r="A151" s="6">
        <v>46065</v>
      </c>
      <c r="B151" s="7" t="s">
        <v>16</v>
      </c>
      <c r="C151" s="8" t="s">
        <v>213</v>
      </c>
      <c r="D151" s="9" t="s">
        <v>270</v>
      </c>
      <c r="E151" s="10">
        <v>-40</v>
      </c>
      <c r="F151" s="11" t="s">
        <v>271</v>
      </c>
      <c r="G151" s="5" t="str">
        <f>IF(E151&gt;=0, E151, "")</f>
        <v/>
      </c>
      <c r="H151" s="37">
        <f>IF(E151&lt;0, E151, "")</f>
        <v>-40</v>
      </c>
    </row>
    <row r="152" spans="1:8" ht="14.25">
      <c r="A152" s="6">
        <v>46059</v>
      </c>
      <c r="B152" s="7" t="s">
        <v>16</v>
      </c>
      <c r="C152" s="8" t="s">
        <v>213</v>
      </c>
      <c r="D152" s="9" t="s">
        <v>299</v>
      </c>
      <c r="E152" s="10">
        <v>-40</v>
      </c>
      <c r="F152" s="11" t="s">
        <v>300</v>
      </c>
      <c r="G152" s="5" t="str">
        <f>IF(E152&gt;=0, E152, "")</f>
        <v/>
      </c>
      <c r="H152" s="37">
        <f>IF(E152&lt;0, E152, "")</f>
        <v>-40</v>
      </c>
    </row>
    <row r="153" spans="1:8" ht="14.25">
      <c r="A153" s="6">
        <v>46088</v>
      </c>
      <c r="B153" s="7" t="s">
        <v>16</v>
      </c>
      <c r="C153" s="8" t="s">
        <v>185</v>
      </c>
      <c r="D153" s="9" t="s">
        <v>186</v>
      </c>
      <c r="E153" s="10">
        <v>-40</v>
      </c>
      <c r="F153" s="11" t="s">
        <v>187</v>
      </c>
      <c r="G153" s="5" t="str">
        <f>IF(E153&gt;=0, E153, "")</f>
        <v/>
      </c>
      <c r="H153" s="37">
        <f>IF(E153&lt;0, E153, "")</f>
        <v>-40</v>
      </c>
    </row>
    <row r="154" spans="1:8" ht="14.25">
      <c r="A154" s="6">
        <v>46024</v>
      </c>
      <c r="B154" s="7" t="s">
        <v>440</v>
      </c>
      <c r="C154" s="8" t="s">
        <v>441</v>
      </c>
      <c r="D154" s="9" t="s">
        <v>442</v>
      </c>
      <c r="E154" s="10">
        <v>-61</v>
      </c>
      <c r="F154" s="11" t="s">
        <v>443</v>
      </c>
      <c r="G154" s="5" t="str">
        <f>IF(E154&gt;=0, E154, "")</f>
        <v/>
      </c>
      <c r="H154" s="37">
        <f>IF(E154&lt;0, E154, "")</f>
        <v>-61</v>
      </c>
    </row>
    <row r="155" spans="1:8" ht="14.25">
      <c r="A155" s="6">
        <v>46065</v>
      </c>
      <c r="B155" s="7" t="s">
        <v>272</v>
      </c>
      <c r="C155" s="8" t="s">
        <v>273</v>
      </c>
      <c r="D155" s="9" t="s">
        <v>274</v>
      </c>
      <c r="E155" s="10">
        <v>-150</v>
      </c>
      <c r="F155" s="11" t="s">
        <v>275</v>
      </c>
      <c r="G155" s="5" t="str">
        <f>IF(E155&gt;=0, E155, "")</f>
        <v/>
      </c>
      <c r="H155" s="37">
        <f>IF(E155&lt;0, E155, "")</f>
        <v>-150</v>
      </c>
    </row>
    <row r="156" spans="1:8" ht="14.25">
      <c r="A156" s="6">
        <v>46059</v>
      </c>
      <c r="B156" s="7" t="s">
        <v>272</v>
      </c>
      <c r="C156" s="8" t="s">
        <v>273</v>
      </c>
      <c r="D156" s="9" t="s">
        <v>297</v>
      </c>
      <c r="E156" s="10">
        <v>-200</v>
      </c>
      <c r="F156" s="11" t="s">
        <v>298</v>
      </c>
      <c r="G156" s="5" t="str">
        <f>IF(E156&gt;=0, E156, "")</f>
        <v/>
      </c>
      <c r="H156" s="37">
        <f>IF(E156&lt;0, E156, "")</f>
        <v>-200</v>
      </c>
    </row>
    <row r="157" spans="1:8" hidden="1">
      <c r="A157" s="6">
        <v>46021</v>
      </c>
      <c r="B157" s="7" t="s">
        <v>453</v>
      </c>
      <c r="C157" s="12" t="s">
        <v>454</v>
      </c>
      <c r="D157" s="13" t="s">
        <v>220</v>
      </c>
      <c r="E157" s="13">
        <v>180</v>
      </c>
      <c r="F157" s="14" t="s">
        <v>455</v>
      </c>
      <c r="G157" s="5">
        <f>IF(E157&gt;=0, E157, "")</f>
        <v>180</v>
      </c>
      <c r="H157" s="5" t="str">
        <f>IF(E157&lt;0, E157, "")</f>
        <v/>
      </c>
    </row>
    <row r="158" spans="1:8" hidden="1">
      <c r="A158" s="6">
        <v>46018</v>
      </c>
      <c r="B158" s="7" t="s">
        <v>206</v>
      </c>
      <c r="C158" s="12" t="s">
        <v>456</v>
      </c>
      <c r="D158" s="13" t="s">
        <v>341</v>
      </c>
      <c r="E158" s="13">
        <v>3</v>
      </c>
      <c r="F158" s="14" t="s">
        <v>457</v>
      </c>
      <c r="G158" s="5">
        <f>IF(E158&gt;=0, E158, "")</f>
        <v>3</v>
      </c>
      <c r="H158" s="5" t="str">
        <f>IF(E158&lt;0, E158, "")</f>
        <v/>
      </c>
    </row>
    <row r="159" spans="1:8" ht="14.25">
      <c r="A159" s="6">
        <v>46112</v>
      </c>
      <c r="B159" s="7" t="s">
        <v>92</v>
      </c>
      <c r="C159" s="8" t="s">
        <v>93</v>
      </c>
      <c r="D159" s="9" t="s">
        <v>94</v>
      </c>
      <c r="E159" s="10">
        <v>-22</v>
      </c>
      <c r="F159" s="11" t="s">
        <v>95</v>
      </c>
      <c r="G159" s="5" t="str">
        <f>IF(E159&gt;=0, E159, "")</f>
        <v/>
      </c>
      <c r="H159" s="37">
        <f>IF(E159&lt;0, E159, "")</f>
        <v>-22</v>
      </c>
    </row>
    <row r="160" spans="1:8" ht="14.25">
      <c r="A160" s="6">
        <v>46107</v>
      </c>
      <c r="B160" s="7" t="s">
        <v>92</v>
      </c>
      <c r="C160" s="8" t="s">
        <v>115</v>
      </c>
      <c r="D160" s="9" t="s">
        <v>116</v>
      </c>
      <c r="E160" s="10">
        <v>-5</v>
      </c>
      <c r="F160" s="11" t="s">
        <v>117</v>
      </c>
      <c r="G160" s="5" t="str">
        <f>IF(E160&gt;=0, E160, "")</f>
        <v/>
      </c>
      <c r="H160" s="37">
        <f>IF(E160&lt;0, E160, "")</f>
        <v>-5</v>
      </c>
    </row>
    <row r="161" spans="1:8" hidden="1">
      <c r="A161" s="6">
        <v>46015</v>
      </c>
      <c r="B161" s="7" t="s">
        <v>464</v>
      </c>
      <c r="C161" s="12" t="s">
        <v>465</v>
      </c>
      <c r="D161" s="13" t="s">
        <v>220</v>
      </c>
      <c r="E161" s="13">
        <v>200</v>
      </c>
      <c r="F161" s="14" t="s">
        <v>466</v>
      </c>
      <c r="G161" s="5">
        <f>IF(E161&gt;=0, E161, "")</f>
        <v>200</v>
      </c>
      <c r="H161" s="5" t="str">
        <f>IF(E161&lt;0, E161, "")</f>
        <v/>
      </c>
    </row>
    <row r="162" spans="1:8" ht="14.25">
      <c r="A162" s="6">
        <v>46048</v>
      </c>
      <c r="B162" s="7" t="s">
        <v>350</v>
      </c>
      <c r="C162" s="8" t="s">
        <v>115</v>
      </c>
      <c r="D162" s="9" t="s">
        <v>351</v>
      </c>
      <c r="E162" s="10">
        <v>-4.99</v>
      </c>
      <c r="F162" s="11" t="s">
        <v>352</v>
      </c>
      <c r="G162" s="5" t="str">
        <f>IF(E162&gt;=0, E162, "")</f>
        <v/>
      </c>
      <c r="H162" s="37">
        <f>IF(E162&lt;0, E162, "")</f>
        <v>-4.99</v>
      </c>
    </row>
    <row r="163" spans="1:8" ht="14.25">
      <c r="A163" s="6">
        <v>46073</v>
      </c>
      <c r="B163" s="7" t="s">
        <v>92</v>
      </c>
      <c r="C163" s="8" t="s">
        <v>238</v>
      </c>
      <c r="D163" s="9" t="s">
        <v>239</v>
      </c>
      <c r="E163" s="10">
        <v>-8</v>
      </c>
      <c r="F163" s="11" t="s">
        <v>240</v>
      </c>
      <c r="G163" s="5" t="str">
        <f>IF(E163&gt;=0, E163, "")</f>
        <v/>
      </c>
      <c r="H163" s="37">
        <f>IF(E163&lt;0, E163, "")</f>
        <v>-8</v>
      </c>
    </row>
    <row r="164" spans="1:8" ht="14.25">
      <c r="A164" s="6">
        <v>46055</v>
      </c>
      <c r="B164" s="7" t="s">
        <v>31</v>
      </c>
      <c r="C164" s="8" t="s">
        <v>319</v>
      </c>
      <c r="D164" s="9" t="s">
        <v>320</v>
      </c>
      <c r="E164" s="10">
        <v>-50</v>
      </c>
      <c r="F164" s="11" t="s">
        <v>321</v>
      </c>
      <c r="G164" s="5" t="str">
        <f>IF(E164&gt;=0, E164, "")</f>
        <v/>
      </c>
      <c r="H164" s="37">
        <f>IF(E164&lt;0, E164, "")</f>
        <v>-50</v>
      </c>
    </row>
    <row r="165" spans="1:8" ht="14.25">
      <c r="A165" s="6">
        <v>46047</v>
      </c>
      <c r="B165" s="7" t="s">
        <v>355</v>
      </c>
      <c r="C165" s="8" t="s">
        <v>356</v>
      </c>
      <c r="D165" s="9" t="s">
        <v>357</v>
      </c>
      <c r="E165" s="10">
        <v>-3.6</v>
      </c>
      <c r="F165" s="11" t="s">
        <v>358</v>
      </c>
      <c r="G165" s="5" t="str">
        <f>IF(E165&gt;=0, E165, "")</f>
        <v/>
      </c>
      <c r="H165" s="37">
        <f>IF(E165&lt;0, E165, "")</f>
        <v>-3.6</v>
      </c>
    </row>
    <row r="166" spans="1:8" ht="14.25">
      <c r="A166" s="6">
        <v>46026</v>
      </c>
      <c r="B166" s="7" t="s">
        <v>31</v>
      </c>
      <c r="C166" s="8" t="s">
        <v>438</v>
      </c>
      <c r="D166" s="9" t="s">
        <v>38</v>
      </c>
      <c r="E166" s="10">
        <v>-40</v>
      </c>
      <c r="F166" s="11" t="s">
        <v>439</v>
      </c>
      <c r="G166" s="5" t="str">
        <f>IF(E166&gt;=0, E166, "")</f>
        <v/>
      </c>
      <c r="H166" s="37">
        <f>IF(E166&lt;0, E166, "")</f>
        <v>-40</v>
      </c>
    </row>
    <row r="167" spans="1:8" ht="14.25">
      <c r="A167" s="6">
        <v>46141</v>
      </c>
      <c r="B167" s="7" t="s">
        <v>40</v>
      </c>
      <c r="C167" s="8" t="s">
        <v>41</v>
      </c>
      <c r="D167" s="9" t="s">
        <v>42</v>
      </c>
      <c r="E167" s="10">
        <v>-5</v>
      </c>
      <c r="F167" s="11" t="s">
        <v>43</v>
      </c>
      <c r="G167" s="5" t="str">
        <f>IF(E167&gt;=0, E167, "")</f>
        <v/>
      </c>
      <c r="H167" s="37">
        <f>IF(E167&lt;0, E167, "")</f>
        <v>-5</v>
      </c>
    </row>
    <row r="168" spans="1:8" ht="14.25">
      <c r="A168" s="6">
        <v>46044</v>
      </c>
      <c r="B168" s="7" t="s">
        <v>255</v>
      </c>
      <c r="C168" s="8" t="s">
        <v>372</v>
      </c>
      <c r="D168" s="9" t="s">
        <v>373</v>
      </c>
      <c r="E168" s="10">
        <v>-100</v>
      </c>
      <c r="F168" s="11" t="s">
        <v>374</v>
      </c>
      <c r="G168" s="5" t="str">
        <f>IF(E168&gt;=0, E168, "")</f>
        <v/>
      </c>
      <c r="H168" s="37">
        <f>IF(E168&lt;0, E168, "")</f>
        <v>-100</v>
      </c>
    </row>
    <row r="169" spans="1:8" ht="14.25">
      <c r="A169" s="6">
        <v>46112</v>
      </c>
      <c r="B169" s="7" t="s">
        <v>16</v>
      </c>
      <c r="C169" s="8" t="s">
        <v>96</v>
      </c>
      <c r="D169" s="9" t="s">
        <v>97</v>
      </c>
      <c r="E169" s="9">
        <v>-31</v>
      </c>
      <c r="F169" s="11" t="s">
        <v>98</v>
      </c>
      <c r="G169" s="5" t="str">
        <f>IF(E169&gt;=0, E169, "")</f>
        <v/>
      </c>
      <c r="H169" s="37">
        <f>IF(E169&lt;0, E169, "")</f>
        <v>-31</v>
      </c>
    </row>
    <row r="170" spans="1:8" hidden="1">
      <c r="A170" s="6">
        <v>46013</v>
      </c>
      <c r="B170" s="7" t="s">
        <v>493</v>
      </c>
      <c r="C170" s="12" t="s">
        <v>494</v>
      </c>
      <c r="D170" s="13" t="s">
        <v>495</v>
      </c>
      <c r="E170" s="13">
        <v>400</v>
      </c>
      <c r="F170" s="14" t="s">
        <v>496</v>
      </c>
      <c r="G170" s="5">
        <f>IF(E170&gt;=0, E170, "")</f>
        <v>400</v>
      </c>
      <c r="H170" s="5" t="str">
        <f>IF(E170&lt;0, E170, "")</f>
        <v/>
      </c>
    </row>
    <row r="171" spans="1:8" hidden="1">
      <c r="A171" s="6">
        <v>46012</v>
      </c>
      <c r="B171" s="7" t="s">
        <v>497</v>
      </c>
      <c r="C171" s="12" t="s">
        <v>498</v>
      </c>
      <c r="D171" s="13" t="s">
        <v>499</v>
      </c>
      <c r="E171" s="13">
        <v>500</v>
      </c>
      <c r="F171" s="14" t="s">
        <v>500</v>
      </c>
      <c r="G171" s="5">
        <f>IF(E171&gt;=0, E171, "")</f>
        <v>500</v>
      </c>
      <c r="H171" s="5" t="str">
        <f>IF(E171&lt;0, E171, "")</f>
        <v/>
      </c>
    </row>
    <row r="172" spans="1:8" ht="14.25">
      <c r="A172" s="6">
        <v>46106</v>
      </c>
      <c r="B172" s="7" t="s">
        <v>16</v>
      </c>
      <c r="C172" s="8" t="s">
        <v>123</v>
      </c>
      <c r="D172" s="9" t="s">
        <v>124</v>
      </c>
      <c r="E172" s="10">
        <v>-20</v>
      </c>
      <c r="F172" s="11" t="s">
        <v>125</v>
      </c>
      <c r="G172" s="5" t="str">
        <f>IF(E172&gt;=0, E172, "")</f>
        <v/>
      </c>
      <c r="H172" s="37">
        <f>IF(E172&lt;0, E172, "")</f>
        <v>-20</v>
      </c>
    </row>
    <row r="173" spans="1:8" ht="14.25">
      <c r="A173" s="6">
        <v>46100</v>
      </c>
      <c r="B173" s="7" t="s">
        <v>154</v>
      </c>
      <c r="C173" s="8" t="s">
        <v>123</v>
      </c>
      <c r="D173" s="9" t="s">
        <v>155</v>
      </c>
      <c r="E173" s="10">
        <v>-8</v>
      </c>
      <c r="F173" s="11" t="s">
        <v>156</v>
      </c>
      <c r="G173" s="5" t="str">
        <f>IF(E173&gt;=0, E173, "")</f>
        <v/>
      </c>
      <c r="H173" s="37">
        <f>IF(E173&lt;0, E173, "")</f>
        <v>-8</v>
      </c>
    </row>
    <row r="174" spans="1:8" hidden="1">
      <c r="A174" s="6">
        <v>46010</v>
      </c>
      <c r="B174" s="7" t="s">
        <v>44</v>
      </c>
      <c r="C174" s="12" t="s">
        <v>509</v>
      </c>
      <c r="D174" s="13" t="s">
        <v>510</v>
      </c>
      <c r="E174" s="13">
        <v>3</v>
      </c>
      <c r="F174" s="14" t="s">
        <v>511</v>
      </c>
      <c r="G174" s="5">
        <f>IF(E174&gt;=0, E174, "")</f>
        <v>3</v>
      </c>
      <c r="H174" s="5" t="str">
        <f>IF(E174&lt;0, E174, "")</f>
        <v/>
      </c>
    </row>
    <row r="175" spans="1:8" hidden="1">
      <c r="A175" s="6">
        <v>46009</v>
      </c>
      <c r="B175" s="7" t="s">
        <v>230</v>
      </c>
      <c r="C175" s="12" t="s">
        <v>512</v>
      </c>
      <c r="D175" s="13" t="s">
        <v>513</v>
      </c>
      <c r="E175" s="13">
        <v>3</v>
      </c>
      <c r="F175" s="14" t="s">
        <v>514</v>
      </c>
      <c r="G175" s="5">
        <f>IF(E175&gt;=0, E175, "")</f>
        <v>3</v>
      </c>
      <c r="H175" s="5" t="str">
        <f>IF(E175&lt;0, E175, "")</f>
        <v/>
      </c>
    </row>
    <row r="176" spans="1:8" ht="14.25">
      <c r="A176" s="6">
        <v>46153</v>
      </c>
      <c r="B176" s="7" t="s">
        <v>16</v>
      </c>
      <c r="C176" s="8" t="s">
        <v>17</v>
      </c>
      <c r="D176" s="9" t="s">
        <v>18</v>
      </c>
      <c r="E176" s="10">
        <v>-50</v>
      </c>
      <c r="F176" s="11" t="s">
        <v>19</v>
      </c>
      <c r="G176" s="5" t="str">
        <f>IF(E176&gt;=0, E176, "")</f>
        <v/>
      </c>
      <c r="H176" s="37">
        <f>IF(E176&lt;0, E176, "")</f>
        <v>-50</v>
      </c>
    </row>
    <row r="177" spans="1:8" ht="14.25">
      <c r="A177" s="6">
        <v>46106</v>
      </c>
      <c r="B177" s="7" t="s">
        <v>120</v>
      </c>
      <c r="C177" s="8" t="s">
        <v>17</v>
      </c>
      <c r="D177" s="9" t="s">
        <v>121</v>
      </c>
      <c r="E177" s="10">
        <v>-36</v>
      </c>
      <c r="F177" s="11" t="s">
        <v>122</v>
      </c>
      <c r="G177" s="5" t="str">
        <f>IF(E177&gt;=0, E177, "")</f>
        <v/>
      </c>
      <c r="H177" s="37">
        <f>IF(E177&lt;0, E177, "")</f>
        <v>-36</v>
      </c>
    </row>
    <row r="178" spans="1:8" hidden="1">
      <c r="A178" s="6">
        <v>46008</v>
      </c>
      <c r="B178" s="7" t="s">
        <v>520</v>
      </c>
      <c r="C178" s="12" t="s">
        <v>521</v>
      </c>
      <c r="D178" s="13" t="s">
        <v>522</v>
      </c>
      <c r="E178" s="13">
        <v>70</v>
      </c>
      <c r="F178" s="14" t="s">
        <v>523</v>
      </c>
      <c r="G178" s="5">
        <f>IF(E178&gt;=0, E178, "")</f>
        <v>70</v>
      </c>
      <c r="H178" s="5" t="str">
        <f>IF(E178&lt;0, E178, "")</f>
        <v/>
      </c>
    </row>
    <row r="179" spans="1:8" ht="14.25">
      <c r="A179" s="6">
        <v>46147</v>
      </c>
      <c r="B179" s="7" t="s">
        <v>16</v>
      </c>
      <c r="C179" s="8" t="s">
        <v>27</v>
      </c>
      <c r="D179" s="9" t="s">
        <v>28</v>
      </c>
      <c r="E179" s="10">
        <v>-50</v>
      </c>
      <c r="F179" s="11" t="s">
        <v>29</v>
      </c>
      <c r="G179" s="5" t="str">
        <f>IF(E179&gt;=0, E179, "")</f>
        <v/>
      </c>
      <c r="H179" s="37">
        <f>IF(E179&lt;0, E179, "")</f>
        <v>-50</v>
      </c>
    </row>
    <row r="180" spans="1:8" ht="14.25">
      <c r="A180" s="6">
        <v>46139</v>
      </c>
      <c r="B180" s="7" t="s">
        <v>16</v>
      </c>
      <c r="C180" s="8" t="s">
        <v>27</v>
      </c>
      <c r="D180" s="9" t="s">
        <v>57</v>
      </c>
      <c r="E180" s="10">
        <v>-50</v>
      </c>
      <c r="F180" s="11" t="s">
        <v>58</v>
      </c>
      <c r="G180" s="5" t="str">
        <f>IF(E180&gt;=0, E180, "")</f>
        <v/>
      </c>
      <c r="H180" s="37">
        <f>IF(E180&lt;0, E180, "")</f>
        <v>-50</v>
      </c>
    </row>
    <row r="181" spans="1:8" ht="14.25">
      <c r="A181" s="6">
        <v>46130</v>
      </c>
      <c r="B181" s="7" t="s">
        <v>16</v>
      </c>
      <c r="C181" s="8" t="s">
        <v>27</v>
      </c>
      <c r="D181" s="9" t="s">
        <v>74</v>
      </c>
      <c r="E181" s="10">
        <v>-50</v>
      </c>
      <c r="F181" s="11" t="s">
        <v>75</v>
      </c>
      <c r="G181" s="5" t="str">
        <f>IF(E181&gt;=0, E181, "")</f>
        <v/>
      </c>
      <c r="H181" s="37">
        <f>IF(E181&lt;0, E181, "")</f>
        <v>-50</v>
      </c>
    </row>
    <row r="182" spans="1:8" ht="14.25">
      <c r="A182" s="6">
        <v>46122</v>
      </c>
      <c r="B182" s="7" t="s">
        <v>16</v>
      </c>
      <c r="C182" s="8" t="s">
        <v>27</v>
      </c>
      <c r="D182" s="9" t="s">
        <v>57</v>
      </c>
      <c r="E182" s="10">
        <v>-50</v>
      </c>
      <c r="F182" s="11" t="s">
        <v>78</v>
      </c>
      <c r="G182" s="5" t="str">
        <f>IF(E182&gt;=0, E182, "")</f>
        <v/>
      </c>
      <c r="H182" s="37">
        <f>IF(E182&lt;0, E182, "")</f>
        <v>-50</v>
      </c>
    </row>
    <row r="183" spans="1:8" ht="14.25">
      <c r="A183" s="6">
        <v>46114</v>
      </c>
      <c r="B183" s="7" t="s">
        <v>16</v>
      </c>
      <c r="C183" s="8" t="s">
        <v>27</v>
      </c>
      <c r="D183" s="9" t="s">
        <v>84</v>
      </c>
      <c r="E183" s="10">
        <v>-50</v>
      </c>
      <c r="F183" s="11" t="s">
        <v>85</v>
      </c>
      <c r="G183" s="5" t="str">
        <f>IF(E183&gt;=0, E183, "")</f>
        <v/>
      </c>
      <c r="H183" s="37">
        <f>IF(E183&lt;0, E183, "")</f>
        <v>-50</v>
      </c>
    </row>
    <row r="184" spans="1:8" ht="14.25">
      <c r="A184" s="6">
        <v>46022</v>
      </c>
      <c r="B184" s="7" t="s">
        <v>16</v>
      </c>
      <c r="C184" s="8" t="s">
        <v>446</v>
      </c>
      <c r="D184" s="9" t="s">
        <v>447</v>
      </c>
      <c r="E184" s="10">
        <v>-10</v>
      </c>
      <c r="F184" s="11" t="s">
        <v>448</v>
      </c>
      <c r="G184" s="5" t="str">
        <f>IF(E184&gt;=0, E184, "")</f>
        <v/>
      </c>
      <c r="H184" s="37">
        <f>IF(E184&lt;0, E184, "")</f>
        <v>-10</v>
      </c>
    </row>
    <row r="185" spans="1:8" ht="14.25">
      <c r="A185" s="6">
        <v>45996</v>
      </c>
      <c r="B185" s="7" t="s">
        <v>65</v>
      </c>
      <c r="C185" s="8" t="s">
        <v>569</v>
      </c>
      <c r="D185" s="9" t="s">
        <v>570</v>
      </c>
      <c r="E185" s="10">
        <v>-22.99</v>
      </c>
      <c r="F185" s="11" t="s">
        <v>571</v>
      </c>
      <c r="G185" s="5" t="str">
        <f>IF(E185&gt;=0, E185, "")</f>
        <v/>
      </c>
      <c r="H185" s="37">
        <f>IF(E185&lt;0, E185, "")</f>
        <v>-22.99</v>
      </c>
    </row>
    <row r="186" spans="1:8" ht="14.25">
      <c r="A186" s="6">
        <v>46007</v>
      </c>
      <c r="B186" s="7" t="s">
        <v>538</v>
      </c>
      <c r="C186" s="8" t="s">
        <v>539</v>
      </c>
      <c r="D186" s="9" t="s">
        <v>540</v>
      </c>
      <c r="E186" s="10">
        <v>-20</v>
      </c>
      <c r="F186" s="11" t="s">
        <v>541</v>
      </c>
      <c r="G186" s="5" t="str">
        <f>IF(E186&gt;=0, E186, "")</f>
        <v/>
      </c>
      <c r="H186" s="37">
        <f>IF(E186&lt;0, E186, "")</f>
        <v>-20</v>
      </c>
    </row>
    <row r="187" spans="1:8" hidden="1">
      <c r="A187" s="6">
        <v>46006</v>
      </c>
      <c r="B187" s="7" t="s">
        <v>551</v>
      </c>
      <c r="C187" s="12" t="s">
        <v>277</v>
      </c>
      <c r="D187" s="13" t="s">
        <v>552</v>
      </c>
      <c r="E187" s="13">
        <v>50</v>
      </c>
      <c r="F187" s="14" t="s">
        <v>553</v>
      </c>
      <c r="G187" s="5">
        <f>IF(E187&gt;=0, E187, "")</f>
        <v>50</v>
      </c>
      <c r="H187" s="5" t="str">
        <f>IF(E187&lt;0, E187, "")</f>
        <v/>
      </c>
    </row>
    <row r="188" spans="1:8" hidden="1">
      <c r="A188" s="6">
        <v>46006</v>
      </c>
      <c r="B188" s="7" t="s">
        <v>554</v>
      </c>
      <c r="C188" s="12" t="s">
        <v>20</v>
      </c>
      <c r="D188" s="13" t="s">
        <v>555</v>
      </c>
      <c r="E188" s="13">
        <v>400</v>
      </c>
      <c r="F188" s="14" t="s">
        <v>556</v>
      </c>
      <c r="G188" s="5">
        <f>IF(E188&gt;=0, E188, "")</f>
        <v>400</v>
      </c>
      <c r="H188" s="5" t="str">
        <f>IF(E188&lt;0, E188, "")</f>
        <v/>
      </c>
    </row>
    <row r="189" spans="1:8" hidden="1">
      <c r="A189" s="6">
        <v>46002</v>
      </c>
      <c r="B189" s="7" t="s">
        <v>285</v>
      </c>
      <c r="C189" s="12" t="s">
        <v>557</v>
      </c>
      <c r="D189" s="13" t="s">
        <v>558</v>
      </c>
      <c r="E189" s="13">
        <v>3</v>
      </c>
      <c r="F189" s="14" t="s">
        <v>559</v>
      </c>
      <c r="G189" s="5">
        <f>IF(E189&gt;=0, E189, "")</f>
        <v>3</v>
      </c>
      <c r="H189" s="5" t="str">
        <f>IF(E189&lt;0, E189, "")</f>
        <v/>
      </c>
    </row>
    <row r="190" spans="1:8" ht="14.25">
      <c r="A190" s="6">
        <v>46007</v>
      </c>
      <c r="B190" s="7" t="s">
        <v>530</v>
      </c>
      <c r="C190" s="8" t="s">
        <v>531</v>
      </c>
      <c r="D190" s="9" t="s">
        <v>532</v>
      </c>
      <c r="E190" s="10">
        <v>-160</v>
      </c>
      <c r="F190" s="11" t="s">
        <v>533</v>
      </c>
      <c r="G190" s="5" t="str">
        <f>IF(E190&gt;=0, E190, "")</f>
        <v/>
      </c>
      <c r="H190" s="37">
        <f>IF(E190&lt;0, E190, "")</f>
        <v>-160</v>
      </c>
    </row>
    <row r="191" spans="1:8" ht="14.25">
      <c r="A191" s="6">
        <v>46007</v>
      </c>
      <c r="B191" s="7" t="s">
        <v>255</v>
      </c>
      <c r="C191" s="8" t="s">
        <v>524</v>
      </c>
      <c r="D191" s="9" t="s">
        <v>518</v>
      </c>
      <c r="E191" s="10">
        <v>-100</v>
      </c>
      <c r="F191" s="11" t="s">
        <v>525</v>
      </c>
      <c r="G191" s="5" t="str">
        <f>IF(E191&gt;=0, E191, "")</f>
        <v/>
      </c>
      <c r="H191" s="37">
        <f>IF(E191&lt;0, E191, "")</f>
        <v>-100</v>
      </c>
    </row>
    <row r="192" spans="1:8" hidden="1">
      <c r="A192" s="6">
        <v>45999</v>
      </c>
      <c r="B192" s="7" t="s">
        <v>566</v>
      </c>
      <c r="C192" s="12" t="s">
        <v>521</v>
      </c>
      <c r="D192" s="13" t="s">
        <v>567</v>
      </c>
      <c r="E192" s="13">
        <v>170</v>
      </c>
      <c r="F192" s="14" t="s">
        <v>568</v>
      </c>
      <c r="G192" s="5">
        <f>IF(E192&gt;=0, E192, "")</f>
        <v>170</v>
      </c>
      <c r="H192" s="5" t="str">
        <f>IF(E192&lt;0, E192, "")</f>
        <v/>
      </c>
    </row>
    <row r="193" spans="1:8" ht="14.25">
      <c r="A193" s="6">
        <v>46008</v>
      </c>
      <c r="B193" s="7" t="s">
        <v>255</v>
      </c>
      <c r="C193" s="8" t="s">
        <v>517</v>
      </c>
      <c r="D193" s="9" t="s">
        <v>518</v>
      </c>
      <c r="E193" s="10">
        <v>-100</v>
      </c>
      <c r="F193" s="11" t="s">
        <v>519</v>
      </c>
      <c r="G193" s="5" t="str">
        <f>IF(E193&gt;=0, E193, "")</f>
        <v/>
      </c>
      <c r="H193" s="37">
        <f>IF(E193&lt;0, E193, "")</f>
        <v>-100</v>
      </c>
    </row>
    <row r="194" spans="1:8" hidden="1">
      <c r="A194" s="6">
        <v>45996</v>
      </c>
      <c r="B194" s="7" t="s">
        <v>572</v>
      </c>
      <c r="C194" s="18" t="s">
        <v>573</v>
      </c>
      <c r="D194" s="19" t="s">
        <v>574</v>
      </c>
      <c r="E194" s="34">
        <v>52</v>
      </c>
      <c r="F194" s="11" t="s">
        <v>575</v>
      </c>
      <c r="G194" s="5">
        <f>IF(E194&gt;=0, E194, "")</f>
        <v>52</v>
      </c>
      <c r="H194" s="5" t="str">
        <f>IF(E194&lt;0, E194, "")</f>
        <v/>
      </c>
    </row>
    <row r="195" spans="1:8" hidden="1">
      <c r="A195" s="6">
        <v>45991</v>
      </c>
      <c r="B195" s="7" t="s">
        <v>70</v>
      </c>
      <c r="C195" s="12" t="s">
        <v>576</v>
      </c>
      <c r="D195" s="13" t="s">
        <v>341</v>
      </c>
      <c r="E195" s="13">
        <v>6</v>
      </c>
      <c r="F195" s="14" t="s">
        <v>577</v>
      </c>
      <c r="G195" s="5">
        <f>IF(E195&gt;=0, E195, "")</f>
        <v>6</v>
      </c>
      <c r="H195" s="5" t="str">
        <f>IF(E195&lt;0, E195, "")</f>
        <v/>
      </c>
    </row>
    <row r="196" spans="1:8" ht="14.25">
      <c r="A196" s="6">
        <v>46008</v>
      </c>
      <c r="B196" s="7" t="s">
        <v>92</v>
      </c>
      <c r="C196" s="8" t="s">
        <v>515</v>
      </c>
      <c r="D196" s="9" t="s">
        <v>124</v>
      </c>
      <c r="E196" s="10">
        <v>-30</v>
      </c>
      <c r="F196" s="11" t="s">
        <v>516</v>
      </c>
      <c r="G196" s="5" t="str">
        <f>IF(E196&gt;=0, E196, "")</f>
        <v/>
      </c>
      <c r="H196" s="37">
        <f>IF(E196&lt;0, E196, "")</f>
        <v>-30</v>
      </c>
    </row>
    <row r="197" spans="1:8" hidden="1">
      <c r="A197" s="6">
        <v>45990</v>
      </c>
      <c r="B197" s="7" t="s">
        <v>12</v>
      </c>
      <c r="C197" s="20" t="s">
        <v>580</v>
      </c>
      <c r="D197" s="21" t="s">
        <v>581</v>
      </c>
      <c r="E197" s="21">
        <v>100</v>
      </c>
      <c r="F197" s="14" t="s">
        <v>582</v>
      </c>
      <c r="G197" s="5">
        <f t="shared" ref="G2:G198" si="0">IF(E197&gt;=0, E197, "")</f>
        <v>100</v>
      </c>
      <c r="H197" s="5" t="str">
        <f t="shared" ref="H2:H198" si="1">IF(E197&lt;0, E197, "")</f>
        <v/>
      </c>
    </row>
    <row r="198" spans="1:8" hidden="1">
      <c r="A198" s="6">
        <v>45986</v>
      </c>
      <c r="B198" s="7" t="s">
        <v>44</v>
      </c>
      <c r="C198" s="12" t="s">
        <v>583</v>
      </c>
      <c r="D198" s="13" t="s">
        <v>584</v>
      </c>
      <c r="E198" s="22">
        <v>3</v>
      </c>
      <c r="F198" s="11" t="s">
        <v>585</v>
      </c>
      <c r="G198" s="5">
        <f t="shared" si="0"/>
        <v>3</v>
      </c>
      <c r="H198" s="5" t="str">
        <f t="shared" si="1"/>
        <v/>
      </c>
    </row>
  </sheetData>
  <autoFilter ref="A1:H198" xr:uid="{00000000-0001-0000-0100-000000000000}">
    <filterColumn colId="7">
      <customFilters>
        <customFilter operator="notEqual" val=" "/>
      </customFilters>
    </filterColumn>
    <sortState xmlns:xlrd2="http://schemas.microsoft.com/office/spreadsheetml/2017/richdata2" ref="A2:H196">
      <sortCondition ref="C1:C19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79"/>
  <sheetViews>
    <sheetView workbookViewId="0"/>
  </sheetViews>
  <sheetFormatPr baseColWidth="10" defaultColWidth="12.5703125" defaultRowHeight="15.75" customHeight="1"/>
  <cols>
    <col min="2" max="2" width="30" customWidth="1"/>
    <col min="3" max="3" width="31.7109375" customWidth="1"/>
    <col min="5" max="5" width="8.5703125" customWidth="1"/>
    <col min="7" max="8" width="7.85546875" customWidth="1"/>
  </cols>
  <sheetData>
    <row r="1" spans="1:8" ht="15.75" customHeight="1">
      <c r="A1" s="1" t="s">
        <v>0</v>
      </c>
      <c r="B1" s="35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5" t="s">
        <v>7</v>
      </c>
    </row>
    <row r="2" spans="1:8">
      <c r="A2" s="6">
        <v>46141</v>
      </c>
      <c r="B2" s="7" t="s">
        <v>44</v>
      </c>
      <c r="C2" s="12" t="s">
        <v>45</v>
      </c>
      <c r="D2" s="13" t="s">
        <v>46</v>
      </c>
      <c r="E2" s="36">
        <v>3</v>
      </c>
      <c r="F2" s="14" t="s">
        <v>47</v>
      </c>
      <c r="G2" s="37">
        <f t="shared" ref="G2:G79" si="0">IF(E2&gt;=0, E2, "")</f>
        <v>3</v>
      </c>
      <c r="H2" s="5" t="str">
        <f t="shared" ref="H2:H79" si="1">IF(E2&lt;0, E2, "")</f>
        <v/>
      </c>
    </row>
    <row r="3" spans="1:8">
      <c r="A3" s="6">
        <v>46083</v>
      </c>
      <c r="B3" s="7" t="s">
        <v>44</v>
      </c>
      <c r="C3" s="12" t="s">
        <v>203</v>
      </c>
      <c r="D3" s="13" t="s">
        <v>204</v>
      </c>
      <c r="E3" s="36">
        <v>3</v>
      </c>
      <c r="F3" s="14" t="s">
        <v>205</v>
      </c>
      <c r="G3" s="37">
        <f t="shared" si="0"/>
        <v>3</v>
      </c>
      <c r="H3" s="5" t="str">
        <f t="shared" si="1"/>
        <v/>
      </c>
    </row>
    <row r="4" spans="1:8">
      <c r="A4" s="6">
        <v>46050</v>
      </c>
      <c r="B4" s="7" t="s">
        <v>44</v>
      </c>
      <c r="C4" s="12" t="s">
        <v>203</v>
      </c>
      <c r="D4" s="13" t="s">
        <v>343</v>
      </c>
      <c r="E4" s="36">
        <v>3</v>
      </c>
      <c r="F4" s="14" t="s">
        <v>344</v>
      </c>
      <c r="G4" s="37">
        <f t="shared" si="0"/>
        <v>3</v>
      </c>
      <c r="H4" s="5" t="str">
        <f t="shared" si="1"/>
        <v/>
      </c>
    </row>
    <row r="5" spans="1:8">
      <c r="A5" s="6">
        <v>46010</v>
      </c>
      <c r="B5" s="7" t="s">
        <v>44</v>
      </c>
      <c r="C5" s="12" t="s">
        <v>509</v>
      </c>
      <c r="D5" s="13" t="s">
        <v>510</v>
      </c>
      <c r="E5" s="36">
        <v>3</v>
      </c>
      <c r="F5" s="14" t="s">
        <v>511</v>
      </c>
      <c r="G5" s="37">
        <f t="shared" si="0"/>
        <v>3</v>
      </c>
      <c r="H5" s="5" t="str">
        <f t="shared" si="1"/>
        <v/>
      </c>
    </row>
    <row r="6" spans="1:8">
      <c r="A6" s="6">
        <v>45986</v>
      </c>
      <c r="B6" s="7" t="s">
        <v>44</v>
      </c>
      <c r="C6" s="12" t="s">
        <v>583</v>
      </c>
      <c r="D6" s="13" t="s">
        <v>584</v>
      </c>
      <c r="E6" s="38">
        <v>3</v>
      </c>
      <c r="F6" s="11" t="s">
        <v>585</v>
      </c>
      <c r="G6" s="37">
        <f t="shared" si="0"/>
        <v>3</v>
      </c>
      <c r="H6" s="5" t="str">
        <f t="shared" si="1"/>
        <v/>
      </c>
    </row>
    <row r="7" spans="1:8">
      <c r="A7" s="6">
        <v>46012</v>
      </c>
      <c r="B7" s="7" t="s">
        <v>497</v>
      </c>
      <c r="C7" s="12" t="s">
        <v>498</v>
      </c>
      <c r="D7" s="13" t="s">
        <v>499</v>
      </c>
      <c r="E7" s="36">
        <v>500</v>
      </c>
      <c r="F7" s="14" t="s">
        <v>500</v>
      </c>
      <c r="G7" s="37">
        <f t="shared" si="0"/>
        <v>500</v>
      </c>
      <c r="H7" s="5" t="str">
        <f t="shared" si="1"/>
        <v/>
      </c>
    </row>
    <row r="8" spans="1:8">
      <c r="A8" s="6">
        <v>46083</v>
      </c>
      <c r="B8" s="7" t="s">
        <v>206</v>
      </c>
      <c r="C8" s="12" t="s">
        <v>207</v>
      </c>
      <c r="D8" s="13" t="s">
        <v>208</v>
      </c>
      <c r="E8" s="36">
        <v>3</v>
      </c>
      <c r="F8" s="14" t="s">
        <v>209</v>
      </c>
      <c r="G8" s="37">
        <f t="shared" si="0"/>
        <v>3</v>
      </c>
      <c r="H8" s="5" t="str">
        <f t="shared" si="1"/>
        <v/>
      </c>
    </row>
    <row r="9" spans="1:8">
      <c r="A9" s="6">
        <v>46018</v>
      </c>
      <c r="B9" s="7" t="s">
        <v>206</v>
      </c>
      <c r="C9" s="12" t="s">
        <v>456</v>
      </c>
      <c r="D9" s="13" t="s">
        <v>341</v>
      </c>
      <c r="E9" s="36">
        <v>3</v>
      </c>
      <c r="F9" s="14" t="s">
        <v>457</v>
      </c>
      <c r="G9" s="37">
        <f t="shared" si="0"/>
        <v>3</v>
      </c>
      <c r="H9" s="5" t="str">
        <f t="shared" si="1"/>
        <v/>
      </c>
    </row>
    <row r="10" spans="1:8">
      <c r="A10" s="6">
        <v>46155</v>
      </c>
      <c r="B10" s="7" t="s">
        <v>12</v>
      </c>
      <c r="C10" s="12" t="s">
        <v>13</v>
      </c>
      <c r="D10" s="13" t="s">
        <v>14</v>
      </c>
      <c r="E10" s="36">
        <v>50</v>
      </c>
      <c r="F10" s="14" t="s">
        <v>15</v>
      </c>
      <c r="G10" s="37">
        <f t="shared" si="0"/>
        <v>50</v>
      </c>
      <c r="H10" s="5" t="str">
        <f t="shared" si="1"/>
        <v/>
      </c>
    </row>
    <row r="11" spans="1:8">
      <c r="A11" s="6">
        <v>46150</v>
      </c>
      <c r="B11" s="7" t="s">
        <v>12</v>
      </c>
      <c r="C11" s="12" t="s">
        <v>20</v>
      </c>
      <c r="D11" s="13" t="s">
        <v>21</v>
      </c>
      <c r="E11" s="36">
        <v>50</v>
      </c>
      <c r="F11" s="14" t="s">
        <v>22</v>
      </c>
      <c r="G11" s="37">
        <f t="shared" si="0"/>
        <v>50</v>
      </c>
      <c r="H11" s="5" t="str">
        <f t="shared" si="1"/>
        <v/>
      </c>
    </row>
    <row r="12" spans="1:8">
      <c r="A12" s="6">
        <v>46147</v>
      </c>
      <c r="B12" s="7" t="s">
        <v>12</v>
      </c>
      <c r="C12" s="12" t="s">
        <v>20</v>
      </c>
      <c r="D12" s="13" t="s">
        <v>21</v>
      </c>
      <c r="E12" s="36">
        <v>50</v>
      </c>
      <c r="F12" s="14" t="s">
        <v>30</v>
      </c>
      <c r="G12" s="37">
        <f t="shared" si="0"/>
        <v>50</v>
      </c>
      <c r="H12" s="5" t="str">
        <f t="shared" si="1"/>
        <v/>
      </c>
    </row>
    <row r="13" spans="1:8">
      <c r="A13" s="6">
        <v>46143</v>
      </c>
      <c r="B13" s="7" t="s">
        <v>12</v>
      </c>
      <c r="C13" s="12" t="s">
        <v>20</v>
      </c>
      <c r="D13" s="13" t="s">
        <v>35</v>
      </c>
      <c r="E13" s="36">
        <v>50</v>
      </c>
      <c r="F13" s="14" t="s">
        <v>36</v>
      </c>
      <c r="G13" s="37">
        <f t="shared" si="0"/>
        <v>50</v>
      </c>
      <c r="H13" s="5" t="str">
        <f t="shared" si="1"/>
        <v/>
      </c>
    </row>
    <row r="14" spans="1:8">
      <c r="A14" s="6">
        <v>46140</v>
      </c>
      <c r="B14" s="7" t="s">
        <v>12</v>
      </c>
      <c r="C14" s="12" t="s">
        <v>20</v>
      </c>
      <c r="D14" s="13" t="s">
        <v>21</v>
      </c>
      <c r="E14" s="36">
        <v>50</v>
      </c>
      <c r="F14" s="14" t="s">
        <v>52</v>
      </c>
      <c r="G14" s="37">
        <f t="shared" si="0"/>
        <v>50</v>
      </c>
      <c r="H14" s="5" t="str">
        <f t="shared" si="1"/>
        <v/>
      </c>
    </row>
    <row r="15" spans="1:8" ht="14.25">
      <c r="A15" s="6">
        <v>46137</v>
      </c>
      <c r="B15" s="7" t="s">
        <v>12</v>
      </c>
      <c r="C15" s="12" t="s">
        <v>20</v>
      </c>
      <c r="D15" s="13" t="s">
        <v>59</v>
      </c>
      <c r="E15" s="36">
        <v>80</v>
      </c>
      <c r="F15" s="14" t="s">
        <v>60</v>
      </c>
      <c r="G15" s="37">
        <f t="shared" si="0"/>
        <v>80</v>
      </c>
      <c r="H15" s="5" t="str">
        <f t="shared" si="1"/>
        <v/>
      </c>
    </row>
    <row r="16" spans="1:8" ht="14.25">
      <c r="A16" s="6">
        <v>46132</v>
      </c>
      <c r="B16" s="7" t="s">
        <v>12</v>
      </c>
      <c r="C16" s="12" t="s">
        <v>20</v>
      </c>
      <c r="D16" s="13" t="s">
        <v>35</v>
      </c>
      <c r="E16" s="36">
        <v>50</v>
      </c>
      <c r="F16" s="14" t="s">
        <v>69</v>
      </c>
      <c r="G16" s="37">
        <f t="shared" si="0"/>
        <v>50</v>
      </c>
      <c r="H16" s="5" t="str">
        <f t="shared" si="1"/>
        <v/>
      </c>
    </row>
    <row r="17" spans="1:8" ht="14.25">
      <c r="A17" s="6">
        <v>46122</v>
      </c>
      <c r="B17" s="7" t="s">
        <v>12</v>
      </c>
      <c r="C17" s="12" t="s">
        <v>20</v>
      </c>
      <c r="D17" s="13" t="s">
        <v>79</v>
      </c>
      <c r="E17" s="36">
        <v>70</v>
      </c>
      <c r="F17" s="14" t="s">
        <v>80</v>
      </c>
      <c r="G17" s="37">
        <f t="shared" si="0"/>
        <v>70</v>
      </c>
      <c r="H17" s="5" t="str">
        <f t="shared" si="1"/>
        <v/>
      </c>
    </row>
    <row r="18" spans="1:8" ht="14.25">
      <c r="A18" s="6">
        <v>46112</v>
      </c>
      <c r="B18" s="7" t="s">
        <v>12</v>
      </c>
      <c r="C18" s="12" t="s">
        <v>20</v>
      </c>
      <c r="D18" s="13" t="s">
        <v>90</v>
      </c>
      <c r="E18" s="36">
        <v>100</v>
      </c>
      <c r="F18" s="14" t="s">
        <v>91</v>
      </c>
      <c r="G18" s="37">
        <f t="shared" si="0"/>
        <v>100</v>
      </c>
      <c r="H18" s="5" t="str">
        <f t="shared" si="1"/>
        <v/>
      </c>
    </row>
    <row r="19" spans="1:8" ht="14.25">
      <c r="A19" s="6">
        <v>46109</v>
      </c>
      <c r="B19" s="7" t="s">
        <v>12</v>
      </c>
      <c r="C19" s="12" t="s">
        <v>20</v>
      </c>
      <c r="D19" s="13" t="s">
        <v>14</v>
      </c>
      <c r="E19" s="36">
        <v>50</v>
      </c>
      <c r="F19" s="14" t="s">
        <v>111</v>
      </c>
      <c r="G19" s="37">
        <f t="shared" si="0"/>
        <v>50</v>
      </c>
      <c r="H19" s="5" t="str">
        <f t="shared" si="1"/>
        <v/>
      </c>
    </row>
    <row r="20" spans="1:8" ht="14.25">
      <c r="A20" s="6">
        <v>46107</v>
      </c>
      <c r="B20" s="7" t="s">
        <v>12</v>
      </c>
      <c r="C20" s="12" t="s">
        <v>20</v>
      </c>
      <c r="D20" s="13" t="s">
        <v>118</v>
      </c>
      <c r="E20" s="36">
        <v>50</v>
      </c>
      <c r="F20" s="14" t="s">
        <v>119</v>
      </c>
      <c r="G20" s="37">
        <f t="shared" si="0"/>
        <v>50</v>
      </c>
      <c r="H20" s="5" t="str">
        <f t="shared" si="1"/>
        <v/>
      </c>
    </row>
    <row r="21" spans="1:8" ht="14.25">
      <c r="A21" s="6">
        <v>46105</v>
      </c>
      <c r="B21" s="7" t="s">
        <v>12</v>
      </c>
      <c r="C21" s="12" t="s">
        <v>20</v>
      </c>
      <c r="D21" s="13" t="s">
        <v>135</v>
      </c>
      <c r="E21" s="36">
        <v>50</v>
      </c>
      <c r="F21" s="14" t="s">
        <v>136</v>
      </c>
      <c r="G21" s="37">
        <f t="shared" si="0"/>
        <v>50</v>
      </c>
      <c r="H21" s="5" t="str">
        <f t="shared" si="1"/>
        <v/>
      </c>
    </row>
    <row r="22" spans="1:8" ht="14.25">
      <c r="A22" s="6">
        <v>46099</v>
      </c>
      <c r="B22" s="7" t="s">
        <v>12</v>
      </c>
      <c r="C22" s="12" t="s">
        <v>20</v>
      </c>
      <c r="D22" s="13" t="s">
        <v>21</v>
      </c>
      <c r="E22" s="36">
        <v>50</v>
      </c>
      <c r="F22" s="14" t="s">
        <v>165</v>
      </c>
      <c r="G22" s="37">
        <f t="shared" si="0"/>
        <v>50</v>
      </c>
      <c r="H22" s="5" t="str">
        <f t="shared" si="1"/>
        <v/>
      </c>
    </row>
    <row r="23" spans="1:8" ht="14.25">
      <c r="A23" s="6">
        <v>46098</v>
      </c>
      <c r="B23" s="7" t="s">
        <v>12</v>
      </c>
      <c r="C23" s="12" t="s">
        <v>169</v>
      </c>
      <c r="D23" s="13" t="s">
        <v>35</v>
      </c>
      <c r="E23" s="36">
        <v>50</v>
      </c>
      <c r="F23" s="14" t="s">
        <v>170</v>
      </c>
      <c r="G23" s="37">
        <f t="shared" si="0"/>
        <v>50</v>
      </c>
      <c r="H23" s="5" t="str">
        <f t="shared" si="1"/>
        <v/>
      </c>
    </row>
    <row r="24" spans="1:8" ht="14.25">
      <c r="A24" s="6">
        <v>46090</v>
      </c>
      <c r="B24" s="7" t="s">
        <v>12</v>
      </c>
      <c r="C24" s="12" t="s">
        <v>20</v>
      </c>
      <c r="D24" s="13" t="s">
        <v>183</v>
      </c>
      <c r="E24" s="36">
        <v>100</v>
      </c>
      <c r="F24" s="14" t="s">
        <v>184</v>
      </c>
      <c r="G24" s="37">
        <f t="shared" si="0"/>
        <v>100</v>
      </c>
      <c r="H24" s="5" t="str">
        <f t="shared" si="1"/>
        <v/>
      </c>
    </row>
    <row r="25" spans="1:8" ht="14.25">
      <c r="A25" s="6">
        <v>46087</v>
      </c>
      <c r="B25" s="7" t="s">
        <v>12</v>
      </c>
      <c r="C25" s="12" t="s">
        <v>20</v>
      </c>
      <c r="D25" s="13" t="s">
        <v>190</v>
      </c>
      <c r="E25" s="36">
        <v>50</v>
      </c>
      <c r="F25" s="14" t="s">
        <v>191</v>
      </c>
      <c r="G25" s="37">
        <f t="shared" si="0"/>
        <v>50</v>
      </c>
      <c r="H25" s="5" t="str">
        <f t="shared" si="1"/>
        <v/>
      </c>
    </row>
    <row r="26" spans="1:8" ht="14.25">
      <c r="A26" s="6">
        <v>46081</v>
      </c>
      <c r="B26" s="7" t="s">
        <v>12</v>
      </c>
      <c r="C26" s="12" t="s">
        <v>20</v>
      </c>
      <c r="D26" s="13" t="s">
        <v>216</v>
      </c>
      <c r="E26" s="36">
        <v>100</v>
      </c>
      <c r="F26" s="14" t="s">
        <v>217</v>
      </c>
      <c r="G26" s="37">
        <f t="shared" si="0"/>
        <v>100</v>
      </c>
      <c r="H26" s="5" t="str">
        <f t="shared" si="1"/>
        <v/>
      </c>
    </row>
    <row r="27" spans="1:8" ht="14.25">
      <c r="A27" s="6">
        <v>46070</v>
      </c>
      <c r="B27" s="7" t="s">
        <v>12</v>
      </c>
      <c r="C27" s="12" t="s">
        <v>252</v>
      </c>
      <c r="D27" s="13" t="s">
        <v>253</v>
      </c>
      <c r="E27" s="36">
        <v>200</v>
      </c>
      <c r="F27" s="14" t="s">
        <v>254</v>
      </c>
      <c r="G27" s="37">
        <f t="shared" si="0"/>
        <v>200</v>
      </c>
      <c r="H27" s="5" t="str">
        <f t="shared" si="1"/>
        <v/>
      </c>
    </row>
    <row r="28" spans="1:8" ht="14.25">
      <c r="A28" s="6">
        <v>46069</v>
      </c>
      <c r="B28" s="7" t="s">
        <v>12</v>
      </c>
      <c r="C28" s="12" t="s">
        <v>252</v>
      </c>
      <c r="D28" s="13" t="s">
        <v>265</v>
      </c>
      <c r="E28" s="36">
        <v>150</v>
      </c>
      <c r="F28" s="14" t="s">
        <v>266</v>
      </c>
      <c r="G28" s="37">
        <f t="shared" si="0"/>
        <v>150</v>
      </c>
      <c r="H28" s="5" t="str">
        <f t="shared" si="1"/>
        <v/>
      </c>
    </row>
    <row r="29" spans="1:8" ht="14.25">
      <c r="A29" s="6">
        <v>46066</v>
      </c>
      <c r="B29" s="7" t="s">
        <v>12</v>
      </c>
      <c r="C29" s="12" t="s">
        <v>20</v>
      </c>
      <c r="D29" s="13" t="s">
        <v>118</v>
      </c>
      <c r="E29" s="36">
        <v>50</v>
      </c>
      <c r="F29" s="14" t="s">
        <v>269</v>
      </c>
      <c r="G29" s="37">
        <f t="shared" si="0"/>
        <v>50</v>
      </c>
      <c r="H29" s="5" t="str">
        <f t="shared" si="1"/>
        <v/>
      </c>
    </row>
    <row r="30" spans="1:8" ht="14.25">
      <c r="A30" s="6">
        <v>46051</v>
      </c>
      <c r="B30" s="7" t="s">
        <v>12</v>
      </c>
      <c r="C30" s="12" t="s">
        <v>336</v>
      </c>
      <c r="D30" s="13" t="s">
        <v>337</v>
      </c>
      <c r="E30" s="36">
        <v>300</v>
      </c>
      <c r="F30" s="14" t="s">
        <v>338</v>
      </c>
      <c r="G30" s="37">
        <f t="shared" si="0"/>
        <v>300</v>
      </c>
      <c r="H30" s="5" t="str">
        <f t="shared" si="1"/>
        <v/>
      </c>
    </row>
    <row r="31" spans="1:8" ht="14.25">
      <c r="A31" s="6">
        <v>46046</v>
      </c>
      <c r="B31" s="7" t="s">
        <v>12</v>
      </c>
      <c r="C31" s="12" t="s">
        <v>20</v>
      </c>
      <c r="D31" s="13" t="s">
        <v>359</v>
      </c>
      <c r="E31" s="36">
        <v>200</v>
      </c>
      <c r="F31" s="14" t="s">
        <v>360</v>
      </c>
      <c r="G31" s="37">
        <f t="shared" si="0"/>
        <v>200</v>
      </c>
      <c r="H31" s="5" t="str">
        <f t="shared" si="1"/>
        <v/>
      </c>
    </row>
    <row r="32" spans="1:8" ht="14.25">
      <c r="A32" s="6">
        <v>46044</v>
      </c>
      <c r="B32" s="7" t="s">
        <v>12</v>
      </c>
      <c r="C32" s="12" t="s">
        <v>20</v>
      </c>
      <c r="D32" s="13" t="s">
        <v>375</v>
      </c>
      <c r="E32" s="36">
        <v>200</v>
      </c>
      <c r="F32" s="14" t="s">
        <v>376</v>
      </c>
      <c r="G32" s="37">
        <f t="shared" si="0"/>
        <v>200</v>
      </c>
      <c r="H32" s="5" t="str">
        <f t="shared" si="1"/>
        <v/>
      </c>
    </row>
    <row r="33" spans="1:8" ht="14.25">
      <c r="A33" s="6">
        <v>45990</v>
      </c>
      <c r="B33" s="7" t="s">
        <v>12</v>
      </c>
      <c r="C33" s="20" t="s">
        <v>580</v>
      </c>
      <c r="D33" s="21" t="s">
        <v>581</v>
      </c>
      <c r="E33" s="39">
        <v>100</v>
      </c>
      <c r="F33" s="14" t="s">
        <v>582</v>
      </c>
      <c r="G33" s="37">
        <f t="shared" si="0"/>
        <v>100</v>
      </c>
      <c r="H33" s="5" t="str">
        <f t="shared" si="1"/>
        <v/>
      </c>
    </row>
    <row r="34" spans="1:8" ht="14.25">
      <c r="A34" s="6">
        <v>46062</v>
      </c>
      <c r="B34" s="7" t="s">
        <v>285</v>
      </c>
      <c r="C34" s="12" t="s">
        <v>286</v>
      </c>
      <c r="D34" s="13" t="s">
        <v>287</v>
      </c>
      <c r="E34" s="36">
        <v>3</v>
      </c>
      <c r="F34" s="14" t="s">
        <v>288</v>
      </c>
      <c r="G34" s="37">
        <f t="shared" si="0"/>
        <v>3</v>
      </c>
      <c r="H34" s="5" t="str">
        <f t="shared" si="1"/>
        <v/>
      </c>
    </row>
    <row r="35" spans="1:8" ht="14.25">
      <c r="A35" s="6">
        <v>46002</v>
      </c>
      <c r="B35" s="7" t="s">
        <v>285</v>
      </c>
      <c r="C35" s="12" t="s">
        <v>557</v>
      </c>
      <c r="D35" s="13" t="s">
        <v>558</v>
      </c>
      <c r="E35" s="36">
        <v>3</v>
      </c>
      <c r="F35" s="14" t="s">
        <v>559</v>
      </c>
      <c r="G35" s="37">
        <f t="shared" si="0"/>
        <v>3</v>
      </c>
      <c r="H35" s="5" t="str">
        <f t="shared" si="1"/>
        <v/>
      </c>
    </row>
    <row r="36" spans="1:8" ht="14.25">
      <c r="A36" s="6">
        <v>46147</v>
      </c>
      <c r="B36" s="7" t="s">
        <v>23</v>
      </c>
      <c r="C36" s="12" t="s">
        <v>24</v>
      </c>
      <c r="D36" s="13" t="s">
        <v>25</v>
      </c>
      <c r="E36" s="36">
        <v>12</v>
      </c>
      <c r="F36" s="14" t="s">
        <v>26</v>
      </c>
      <c r="G36" s="37">
        <f t="shared" si="0"/>
        <v>12</v>
      </c>
      <c r="H36" s="5" t="str">
        <f t="shared" si="1"/>
        <v/>
      </c>
    </row>
    <row r="37" spans="1:8" ht="14.25">
      <c r="A37" s="6">
        <v>46113</v>
      </c>
      <c r="B37" s="7" t="s">
        <v>86</v>
      </c>
      <c r="C37" s="12" t="s">
        <v>87</v>
      </c>
      <c r="D37" s="13" t="s">
        <v>88</v>
      </c>
      <c r="E37" s="36">
        <v>3</v>
      </c>
      <c r="F37" s="14" t="s">
        <v>89</v>
      </c>
      <c r="G37" s="37">
        <f t="shared" si="0"/>
        <v>3</v>
      </c>
      <c r="H37" s="5" t="str">
        <f t="shared" si="1"/>
        <v/>
      </c>
    </row>
    <row r="38" spans="1:8" ht="14.25">
      <c r="A38" s="6">
        <v>46088</v>
      </c>
      <c r="B38" s="7" t="s">
        <v>86</v>
      </c>
      <c r="C38" s="12" t="s">
        <v>87</v>
      </c>
      <c r="D38" s="13" t="s">
        <v>188</v>
      </c>
      <c r="E38" s="36">
        <v>3</v>
      </c>
      <c r="F38" s="14" t="s">
        <v>189</v>
      </c>
      <c r="G38" s="37">
        <f t="shared" si="0"/>
        <v>3</v>
      </c>
      <c r="H38" s="5" t="str">
        <f t="shared" si="1"/>
        <v/>
      </c>
    </row>
    <row r="39" spans="1:8" ht="14.25">
      <c r="A39" s="6">
        <v>46061</v>
      </c>
      <c r="B39" s="7" t="s">
        <v>86</v>
      </c>
      <c r="C39" s="12" t="s">
        <v>294</v>
      </c>
      <c r="D39" s="13" t="s">
        <v>295</v>
      </c>
      <c r="E39" s="36">
        <v>3</v>
      </c>
      <c r="F39" s="14" t="s">
        <v>296</v>
      </c>
      <c r="G39" s="37">
        <f t="shared" si="0"/>
        <v>3</v>
      </c>
      <c r="H39" s="5" t="str">
        <f t="shared" si="1"/>
        <v/>
      </c>
    </row>
    <row r="40" spans="1:8" ht="14.25">
      <c r="A40" s="6">
        <v>46055</v>
      </c>
      <c r="B40" s="7" t="s">
        <v>315</v>
      </c>
      <c r="C40" s="12" t="s">
        <v>316</v>
      </c>
      <c r="D40" s="13" t="s">
        <v>317</v>
      </c>
      <c r="E40" s="36">
        <v>5.38</v>
      </c>
      <c r="F40" s="14" t="s">
        <v>318</v>
      </c>
      <c r="G40" s="37">
        <f t="shared" si="0"/>
        <v>5.38</v>
      </c>
      <c r="H40" s="5" t="str">
        <f t="shared" si="1"/>
        <v/>
      </c>
    </row>
    <row r="41" spans="1:8" ht="14.25">
      <c r="A41" s="6">
        <v>46050</v>
      </c>
      <c r="B41" s="7" t="s">
        <v>339</v>
      </c>
      <c r="C41" s="12" t="s">
        <v>340</v>
      </c>
      <c r="D41" s="13" t="s">
        <v>341</v>
      </c>
      <c r="E41" s="36">
        <v>3</v>
      </c>
      <c r="F41" s="14" t="s">
        <v>342</v>
      </c>
      <c r="G41" s="37">
        <f t="shared" si="0"/>
        <v>3</v>
      </c>
      <c r="H41" s="5" t="str">
        <f t="shared" si="1"/>
        <v/>
      </c>
    </row>
    <row r="42" spans="1:8" ht="14.25">
      <c r="A42" s="6">
        <v>46074</v>
      </c>
      <c r="B42" s="7" t="s">
        <v>230</v>
      </c>
      <c r="C42" s="12" t="s">
        <v>231</v>
      </c>
      <c r="D42" s="13" t="s">
        <v>232</v>
      </c>
      <c r="E42" s="36">
        <v>3</v>
      </c>
      <c r="F42" s="14" t="s">
        <v>233</v>
      </c>
      <c r="G42" s="37">
        <f t="shared" si="0"/>
        <v>3</v>
      </c>
      <c r="H42" s="5" t="str">
        <f t="shared" si="1"/>
        <v/>
      </c>
    </row>
    <row r="43" spans="1:8" ht="14.25">
      <c r="A43" s="6">
        <v>46041</v>
      </c>
      <c r="B43" s="7" t="s">
        <v>230</v>
      </c>
      <c r="C43" s="12" t="s">
        <v>388</v>
      </c>
      <c r="D43" s="13" t="s">
        <v>389</v>
      </c>
      <c r="E43" s="36">
        <v>3</v>
      </c>
      <c r="F43" s="14" t="s">
        <v>390</v>
      </c>
      <c r="G43" s="37">
        <f t="shared" si="0"/>
        <v>3</v>
      </c>
      <c r="H43" s="5" t="str">
        <f t="shared" si="1"/>
        <v/>
      </c>
    </row>
    <row r="44" spans="1:8" ht="14.25">
      <c r="A44" s="6">
        <v>46009</v>
      </c>
      <c r="B44" s="7" t="s">
        <v>230</v>
      </c>
      <c r="C44" s="12" t="s">
        <v>512</v>
      </c>
      <c r="D44" s="13" t="s">
        <v>513</v>
      </c>
      <c r="E44" s="36">
        <v>3</v>
      </c>
      <c r="F44" s="14" t="s">
        <v>514</v>
      </c>
      <c r="G44" s="37">
        <f t="shared" si="0"/>
        <v>3</v>
      </c>
      <c r="H44" s="5" t="str">
        <f t="shared" si="1"/>
        <v/>
      </c>
    </row>
    <row r="45" spans="1:8" ht="14.25">
      <c r="A45" s="6">
        <v>46133</v>
      </c>
      <c r="B45" s="7" t="s">
        <v>61</v>
      </c>
      <c r="C45" s="12" t="s">
        <v>62</v>
      </c>
      <c r="D45" s="13" t="s">
        <v>63</v>
      </c>
      <c r="E45" s="36">
        <v>3.4</v>
      </c>
      <c r="F45" s="14" t="s">
        <v>64</v>
      </c>
      <c r="G45" s="37">
        <f t="shared" si="0"/>
        <v>3.4</v>
      </c>
      <c r="H45" s="5" t="str">
        <f t="shared" si="1"/>
        <v/>
      </c>
    </row>
    <row r="46" spans="1:8" ht="14.25">
      <c r="A46" s="6">
        <v>46126</v>
      </c>
      <c r="B46" s="7" t="s">
        <v>61</v>
      </c>
      <c r="C46" s="12" t="s">
        <v>62</v>
      </c>
      <c r="D46" s="13" t="s">
        <v>76</v>
      </c>
      <c r="E46" s="36">
        <v>3</v>
      </c>
      <c r="F46" s="14" t="s">
        <v>77</v>
      </c>
      <c r="G46" s="37">
        <f t="shared" si="0"/>
        <v>3</v>
      </c>
      <c r="H46" s="5" t="str">
        <f t="shared" si="1"/>
        <v/>
      </c>
    </row>
    <row r="47" spans="1:8" ht="14.25">
      <c r="A47" s="6">
        <v>46119</v>
      </c>
      <c r="B47" s="7" t="s">
        <v>61</v>
      </c>
      <c r="C47" s="12" t="s">
        <v>81</v>
      </c>
      <c r="D47" s="13" t="s">
        <v>82</v>
      </c>
      <c r="E47" s="40">
        <v>12</v>
      </c>
      <c r="F47" s="14" t="s">
        <v>83</v>
      </c>
      <c r="G47" s="37">
        <f t="shared" si="0"/>
        <v>12</v>
      </c>
      <c r="H47" s="5" t="str">
        <f t="shared" si="1"/>
        <v/>
      </c>
    </row>
    <row r="48" spans="1:8" ht="14.25">
      <c r="A48" s="6">
        <v>46104</v>
      </c>
      <c r="B48" s="7" t="s">
        <v>61</v>
      </c>
      <c r="C48" s="12" t="s">
        <v>81</v>
      </c>
      <c r="D48" s="13" t="s">
        <v>140</v>
      </c>
      <c r="E48" s="36">
        <v>7.4</v>
      </c>
      <c r="F48" s="14" t="s">
        <v>141</v>
      </c>
      <c r="G48" s="37">
        <f t="shared" si="0"/>
        <v>7.4</v>
      </c>
      <c r="H48" s="5" t="str">
        <f t="shared" si="1"/>
        <v/>
      </c>
    </row>
    <row r="49" spans="1:8" ht="14.25">
      <c r="A49" s="6">
        <v>46097</v>
      </c>
      <c r="B49" s="7" t="s">
        <v>61</v>
      </c>
      <c r="C49" s="12" t="s">
        <v>62</v>
      </c>
      <c r="D49" s="13" t="s">
        <v>171</v>
      </c>
      <c r="E49" s="36">
        <v>12</v>
      </c>
      <c r="F49" s="14" t="s">
        <v>172</v>
      </c>
      <c r="G49" s="37">
        <f t="shared" si="0"/>
        <v>12</v>
      </c>
      <c r="H49" s="5" t="str">
        <f t="shared" si="1"/>
        <v/>
      </c>
    </row>
    <row r="50" spans="1:8" ht="14.25">
      <c r="A50" s="6">
        <v>46083</v>
      </c>
      <c r="B50" s="7" t="s">
        <v>61</v>
      </c>
      <c r="C50" s="12" t="s">
        <v>175</v>
      </c>
      <c r="D50" s="13" t="s">
        <v>210</v>
      </c>
      <c r="E50" s="36">
        <v>7.14</v>
      </c>
      <c r="F50" s="14" t="s">
        <v>211</v>
      </c>
      <c r="G50" s="37">
        <f t="shared" si="0"/>
        <v>7.14</v>
      </c>
      <c r="H50" s="5" t="str">
        <f t="shared" si="1"/>
        <v/>
      </c>
    </row>
    <row r="51" spans="1:8" ht="14.25">
      <c r="A51" s="6">
        <v>46077</v>
      </c>
      <c r="B51" s="7" t="s">
        <v>61</v>
      </c>
      <c r="C51" s="12" t="s">
        <v>227</v>
      </c>
      <c r="D51" s="13" t="s">
        <v>228</v>
      </c>
      <c r="E51" s="36">
        <v>11.05</v>
      </c>
      <c r="F51" s="14" t="s">
        <v>229</v>
      </c>
      <c r="G51" s="37">
        <f t="shared" si="0"/>
        <v>11.05</v>
      </c>
      <c r="H51" s="5" t="str">
        <f t="shared" si="1"/>
        <v/>
      </c>
    </row>
    <row r="52" spans="1:8" ht="14.25">
      <c r="A52" s="6">
        <v>46085</v>
      </c>
      <c r="B52" s="7" t="s">
        <v>192</v>
      </c>
      <c r="C52" s="12" t="s">
        <v>193</v>
      </c>
      <c r="D52" s="13" t="s">
        <v>194</v>
      </c>
      <c r="E52" s="36">
        <v>13</v>
      </c>
      <c r="F52" s="14" t="s">
        <v>195</v>
      </c>
      <c r="G52" s="37">
        <f t="shared" si="0"/>
        <v>13</v>
      </c>
      <c r="H52" s="5" t="str">
        <f t="shared" si="1"/>
        <v/>
      </c>
    </row>
    <row r="53" spans="1:8" ht="14.25">
      <c r="A53" s="6">
        <v>46132</v>
      </c>
      <c r="B53" s="7" t="s">
        <v>70</v>
      </c>
      <c r="C53" s="12" t="s">
        <v>71</v>
      </c>
      <c r="D53" s="13" t="s">
        <v>72</v>
      </c>
      <c r="E53" s="36">
        <v>18</v>
      </c>
      <c r="F53" s="14" t="s">
        <v>73</v>
      </c>
      <c r="G53" s="37">
        <f t="shared" si="0"/>
        <v>18</v>
      </c>
      <c r="H53" s="5" t="str">
        <f t="shared" si="1"/>
        <v/>
      </c>
    </row>
    <row r="54" spans="1:8" ht="14.25">
      <c r="A54" s="6">
        <v>46073</v>
      </c>
      <c r="B54" s="7" t="s">
        <v>70</v>
      </c>
      <c r="C54" s="12" t="s">
        <v>234</v>
      </c>
      <c r="D54" s="13" t="s">
        <v>232</v>
      </c>
      <c r="E54" s="36">
        <v>3</v>
      </c>
      <c r="F54" s="14" t="s">
        <v>235</v>
      </c>
      <c r="G54" s="37">
        <f t="shared" si="0"/>
        <v>3</v>
      </c>
      <c r="H54" s="5" t="str">
        <f t="shared" si="1"/>
        <v/>
      </c>
    </row>
    <row r="55" spans="1:8" ht="14.25">
      <c r="A55" s="6">
        <v>46067</v>
      </c>
      <c r="B55" s="7" t="s">
        <v>70</v>
      </c>
      <c r="C55" s="12" t="s">
        <v>234</v>
      </c>
      <c r="D55" s="13" t="s">
        <v>267</v>
      </c>
      <c r="E55" s="36">
        <v>6</v>
      </c>
      <c r="F55" s="14" t="s">
        <v>268</v>
      </c>
      <c r="G55" s="37">
        <f t="shared" si="0"/>
        <v>6</v>
      </c>
      <c r="H55" s="5" t="str">
        <f t="shared" si="1"/>
        <v/>
      </c>
    </row>
    <row r="56" spans="1:8" ht="14.25">
      <c r="A56" s="6">
        <v>45991</v>
      </c>
      <c r="B56" s="7" t="s">
        <v>70</v>
      </c>
      <c r="C56" s="12" t="s">
        <v>576</v>
      </c>
      <c r="D56" s="13" t="s">
        <v>341</v>
      </c>
      <c r="E56" s="36">
        <v>6</v>
      </c>
      <c r="F56" s="14" t="s">
        <v>577</v>
      </c>
      <c r="G56" s="37">
        <f t="shared" si="0"/>
        <v>6</v>
      </c>
      <c r="H56" s="5" t="str">
        <f t="shared" si="1"/>
        <v/>
      </c>
    </row>
    <row r="57" spans="1:8" ht="14.25">
      <c r="A57" s="6">
        <v>45996</v>
      </c>
      <c r="B57" s="7" t="s">
        <v>572</v>
      </c>
      <c r="C57" s="18" t="s">
        <v>573</v>
      </c>
      <c r="D57" s="19" t="s">
        <v>574</v>
      </c>
      <c r="E57" s="41">
        <v>52</v>
      </c>
      <c r="F57" s="11" t="s">
        <v>575</v>
      </c>
      <c r="G57" s="37">
        <f t="shared" si="0"/>
        <v>52</v>
      </c>
      <c r="H57" s="5" t="str">
        <f t="shared" si="1"/>
        <v/>
      </c>
    </row>
    <row r="58" spans="1:8" ht="14.25">
      <c r="A58" s="6">
        <v>45999</v>
      </c>
      <c r="B58" s="7" t="s">
        <v>566</v>
      </c>
      <c r="C58" s="12" t="s">
        <v>521</v>
      </c>
      <c r="D58" s="13" t="s">
        <v>567</v>
      </c>
      <c r="E58" s="36">
        <v>170</v>
      </c>
      <c r="F58" s="14" t="s">
        <v>568</v>
      </c>
      <c r="G58" s="37">
        <f t="shared" si="0"/>
        <v>170</v>
      </c>
      <c r="H58" s="5" t="str">
        <f t="shared" si="1"/>
        <v/>
      </c>
    </row>
    <row r="59" spans="1:8" ht="14.25">
      <c r="A59" s="6">
        <v>46006</v>
      </c>
      <c r="B59" s="7" t="s">
        <v>554</v>
      </c>
      <c r="C59" s="12" t="s">
        <v>20</v>
      </c>
      <c r="D59" s="13" t="s">
        <v>555</v>
      </c>
      <c r="E59" s="36">
        <v>400</v>
      </c>
      <c r="F59" s="14" t="s">
        <v>556</v>
      </c>
      <c r="G59" s="37">
        <f t="shared" si="0"/>
        <v>400</v>
      </c>
      <c r="H59" s="5" t="str">
        <f t="shared" si="1"/>
        <v/>
      </c>
    </row>
    <row r="60" spans="1:8" ht="14.25">
      <c r="A60" s="6">
        <v>46006</v>
      </c>
      <c r="B60" s="7" t="s">
        <v>551</v>
      </c>
      <c r="C60" s="12" t="s">
        <v>277</v>
      </c>
      <c r="D60" s="13" t="s">
        <v>552</v>
      </c>
      <c r="E60" s="36">
        <v>50</v>
      </c>
      <c r="F60" s="14" t="s">
        <v>553</v>
      </c>
      <c r="G60" s="37">
        <f t="shared" si="0"/>
        <v>50</v>
      </c>
      <c r="H60" s="5" t="str">
        <f t="shared" si="1"/>
        <v/>
      </c>
    </row>
    <row r="61" spans="1:8" ht="14.25">
      <c r="A61" s="6">
        <v>46008</v>
      </c>
      <c r="B61" s="7" t="s">
        <v>520</v>
      </c>
      <c r="C61" s="12" t="s">
        <v>521</v>
      </c>
      <c r="D61" s="13" t="s">
        <v>522</v>
      </c>
      <c r="E61" s="36">
        <v>70</v>
      </c>
      <c r="F61" s="14" t="s">
        <v>523</v>
      </c>
      <c r="G61" s="37">
        <f t="shared" si="0"/>
        <v>70</v>
      </c>
      <c r="H61" s="5" t="str">
        <f t="shared" si="1"/>
        <v/>
      </c>
    </row>
    <row r="62" spans="1:8" ht="14.25">
      <c r="A62" s="6">
        <v>46013</v>
      </c>
      <c r="B62" s="7" t="s">
        <v>493</v>
      </c>
      <c r="C62" s="12" t="s">
        <v>494</v>
      </c>
      <c r="D62" s="13" t="s">
        <v>495</v>
      </c>
      <c r="E62" s="36">
        <v>400</v>
      </c>
      <c r="F62" s="14" t="s">
        <v>496</v>
      </c>
      <c r="G62" s="37">
        <f t="shared" si="0"/>
        <v>400</v>
      </c>
      <c r="H62" s="5" t="str">
        <f t="shared" si="1"/>
        <v/>
      </c>
    </row>
    <row r="63" spans="1:8" ht="14.25">
      <c r="A63" s="6">
        <v>46015</v>
      </c>
      <c r="B63" s="7" t="s">
        <v>464</v>
      </c>
      <c r="C63" s="12" t="s">
        <v>465</v>
      </c>
      <c r="D63" s="13" t="s">
        <v>220</v>
      </c>
      <c r="E63" s="36">
        <v>200</v>
      </c>
      <c r="F63" s="14" t="s">
        <v>466</v>
      </c>
      <c r="G63" s="37">
        <f t="shared" si="0"/>
        <v>200</v>
      </c>
      <c r="H63" s="5" t="str">
        <f t="shared" si="1"/>
        <v/>
      </c>
    </row>
    <row r="64" spans="1:8" ht="14.25">
      <c r="A64" s="6">
        <v>46021</v>
      </c>
      <c r="B64" s="7" t="s">
        <v>453</v>
      </c>
      <c r="C64" s="12" t="s">
        <v>454</v>
      </c>
      <c r="D64" s="13" t="s">
        <v>220</v>
      </c>
      <c r="E64" s="36">
        <v>180</v>
      </c>
      <c r="F64" s="14" t="s">
        <v>455</v>
      </c>
      <c r="G64" s="37">
        <f t="shared" si="0"/>
        <v>180</v>
      </c>
      <c r="H64" s="5" t="str">
        <f t="shared" si="1"/>
        <v/>
      </c>
    </row>
    <row r="65" spans="1:8" ht="14.25">
      <c r="A65" s="6">
        <v>46027</v>
      </c>
      <c r="B65" s="7" t="s">
        <v>432</v>
      </c>
      <c r="C65" s="12" t="s">
        <v>433</v>
      </c>
      <c r="D65" s="13" t="s">
        <v>375</v>
      </c>
      <c r="E65" s="36">
        <v>200</v>
      </c>
      <c r="F65" s="14" t="s">
        <v>434</v>
      </c>
      <c r="G65" s="37">
        <f t="shared" si="0"/>
        <v>200</v>
      </c>
      <c r="H65" s="5" t="str">
        <f t="shared" si="1"/>
        <v/>
      </c>
    </row>
    <row r="66" spans="1:8" ht="14.25">
      <c r="A66" s="6">
        <v>46031</v>
      </c>
      <c r="B66" s="7" t="s">
        <v>410</v>
      </c>
      <c r="C66" s="12" t="s">
        <v>411</v>
      </c>
      <c r="D66" s="13" t="s">
        <v>412</v>
      </c>
      <c r="E66" s="36">
        <v>100</v>
      </c>
      <c r="F66" s="14" t="s">
        <v>413</v>
      </c>
      <c r="G66" s="37">
        <f t="shared" si="0"/>
        <v>100</v>
      </c>
      <c r="H66" s="17" t="str">
        <f t="shared" si="1"/>
        <v/>
      </c>
    </row>
    <row r="67" spans="1:8" ht="14.25">
      <c r="A67" s="6">
        <v>46035</v>
      </c>
      <c r="B67" s="7" t="s">
        <v>402</v>
      </c>
      <c r="C67" s="12" t="s">
        <v>395</v>
      </c>
      <c r="D67" s="13" t="s">
        <v>403</v>
      </c>
      <c r="E67" s="36">
        <v>50</v>
      </c>
      <c r="F67" s="14" t="s">
        <v>404</v>
      </c>
      <c r="G67" s="37">
        <f t="shared" si="0"/>
        <v>50</v>
      </c>
      <c r="H67" s="5" t="str">
        <f t="shared" si="1"/>
        <v/>
      </c>
    </row>
    <row r="68" spans="1:8" ht="14.25">
      <c r="A68" s="6">
        <v>46038</v>
      </c>
      <c r="B68" s="7" t="s">
        <v>394</v>
      </c>
      <c r="C68" s="12" t="s">
        <v>395</v>
      </c>
      <c r="D68" s="13" t="s">
        <v>396</v>
      </c>
      <c r="E68" s="36">
        <v>100</v>
      </c>
      <c r="F68" s="14" t="s">
        <v>397</v>
      </c>
      <c r="G68" s="37">
        <f t="shared" si="0"/>
        <v>100</v>
      </c>
      <c r="H68" s="5" t="str">
        <f t="shared" si="1"/>
        <v/>
      </c>
    </row>
    <row r="69" spans="1:8" ht="14.25">
      <c r="A69" s="6">
        <v>46041</v>
      </c>
      <c r="B69" s="7" t="s">
        <v>386</v>
      </c>
      <c r="C69" s="12" t="s">
        <v>277</v>
      </c>
      <c r="D69" s="13" t="s">
        <v>381</v>
      </c>
      <c r="E69" s="36">
        <v>50</v>
      </c>
      <c r="F69" s="14" t="s">
        <v>387</v>
      </c>
      <c r="G69" s="37">
        <f t="shared" si="0"/>
        <v>50</v>
      </c>
      <c r="H69" s="5" t="str">
        <f t="shared" si="1"/>
        <v/>
      </c>
    </row>
    <row r="70" spans="1:8" ht="14.25">
      <c r="A70" s="6">
        <v>46041</v>
      </c>
      <c r="B70" s="7" t="s">
        <v>380</v>
      </c>
      <c r="C70" s="12" t="s">
        <v>277</v>
      </c>
      <c r="D70" s="13" t="s">
        <v>381</v>
      </c>
      <c r="E70" s="36">
        <v>50</v>
      </c>
      <c r="F70" s="14" t="s">
        <v>382</v>
      </c>
      <c r="G70" s="37">
        <f t="shared" si="0"/>
        <v>50</v>
      </c>
      <c r="H70" s="5" t="str">
        <f t="shared" si="1"/>
        <v/>
      </c>
    </row>
    <row r="71" spans="1:8" ht="14.25">
      <c r="A71" s="6">
        <v>46046</v>
      </c>
      <c r="B71" s="7" t="s">
        <v>364</v>
      </c>
      <c r="C71" s="12" t="s">
        <v>277</v>
      </c>
      <c r="D71" s="13" t="s">
        <v>365</v>
      </c>
      <c r="E71" s="36">
        <v>200</v>
      </c>
      <c r="F71" s="14" t="s">
        <v>366</v>
      </c>
      <c r="G71" s="37">
        <f t="shared" si="0"/>
        <v>200</v>
      </c>
      <c r="H71" s="5" t="str">
        <f t="shared" si="1"/>
        <v/>
      </c>
    </row>
    <row r="72" spans="1:8" ht="14.25">
      <c r="A72" s="6">
        <v>46052</v>
      </c>
      <c r="B72" s="7" t="s">
        <v>330</v>
      </c>
      <c r="C72" s="16" t="s">
        <v>331</v>
      </c>
      <c r="D72" s="13" t="s">
        <v>324</v>
      </c>
      <c r="E72" s="36">
        <v>200</v>
      </c>
      <c r="F72" s="14" t="s">
        <v>332</v>
      </c>
      <c r="G72" s="37">
        <f t="shared" si="0"/>
        <v>200</v>
      </c>
      <c r="H72" s="5" t="str">
        <f t="shared" si="1"/>
        <v/>
      </c>
    </row>
    <row r="73" spans="1:8" ht="14.25">
      <c r="A73" s="6">
        <v>46055</v>
      </c>
      <c r="B73" s="7" t="s">
        <v>322</v>
      </c>
      <c r="C73" s="16" t="s">
        <v>323</v>
      </c>
      <c r="D73" s="13" t="s">
        <v>324</v>
      </c>
      <c r="E73" s="36">
        <v>200</v>
      </c>
      <c r="F73" s="14" t="s">
        <v>325</v>
      </c>
      <c r="G73" s="37">
        <f t="shared" si="0"/>
        <v>200</v>
      </c>
      <c r="H73" s="5" t="str">
        <f t="shared" si="1"/>
        <v/>
      </c>
    </row>
    <row r="74" spans="1:8" ht="14.25">
      <c r="A74" s="6">
        <v>46058</v>
      </c>
      <c r="B74" s="7" t="s">
        <v>305</v>
      </c>
      <c r="C74" s="12" t="s">
        <v>277</v>
      </c>
      <c r="D74" s="13" t="s">
        <v>278</v>
      </c>
      <c r="E74" s="36">
        <v>200</v>
      </c>
      <c r="F74" s="14" t="s">
        <v>306</v>
      </c>
      <c r="G74" s="37">
        <f t="shared" si="0"/>
        <v>200</v>
      </c>
      <c r="H74" s="5" t="str">
        <f t="shared" si="1"/>
        <v/>
      </c>
    </row>
    <row r="75" spans="1:8" ht="14.25">
      <c r="A75" s="6">
        <v>46058</v>
      </c>
      <c r="B75" s="7" t="s">
        <v>303</v>
      </c>
      <c r="C75" s="12" t="s">
        <v>277</v>
      </c>
      <c r="D75" s="13" t="s">
        <v>290</v>
      </c>
      <c r="E75" s="36">
        <v>100</v>
      </c>
      <c r="F75" s="14" t="s">
        <v>304</v>
      </c>
      <c r="G75" s="37">
        <f t="shared" si="0"/>
        <v>100</v>
      </c>
      <c r="H75" s="5" t="str">
        <f t="shared" si="1"/>
        <v/>
      </c>
    </row>
    <row r="76" spans="1:8" ht="14.25">
      <c r="A76" s="6">
        <v>46062</v>
      </c>
      <c r="B76" s="7" t="s">
        <v>289</v>
      </c>
      <c r="C76" s="12" t="s">
        <v>277</v>
      </c>
      <c r="D76" s="13" t="s">
        <v>290</v>
      </c>
      <c r="E76" s="36">
        <v>100</v>
      </c>
      <c r="F76" s="14" t="s">
        <v>291</v>
      </c>
      <c r="G76" s="37">
        <f t="shared" si="0"/>
        <v>100</v>
      </c>
      <c r="H76" s="5" t="str">
        <f t="shared" si="1"/>
        <v/>
      </c>
    </row>
    <row r="77" spans="1:8" ht="14.25">
      <c r="A77" s="6">
        <v>46065</v>
      </c>
      <c r="B77" s="7" t="s">
        <v>276</v>
      </c>
      <c r="C77" s="12" t="s">
        <v>277</v>
      </c>
      <c r="D77" s="13" t="s">
        <v>278</v>
      </c>
      <c r="E77" s="36">
        <v>200</v>
      </c>
      <c r="F77" s="14" t="s">
        <v>279</v>
      </c>
      <c r="G77" s="37">
        <f t="shared" si="0"/>
        <v>200</v>
      </c>
      <c r="H77" s="5" t="str">
        <f t="shared" si="1"/>
        <v/>
      </c>
    </row>
    <row r="78" spans="1:8" ht="14.25">
      <c r="A78" s="6">
        <v>46077</v>
      </c>
      <c r="B78" s="7" t="s">
        <v>223</v>
      </c>
      <c r="C78" s="12" t="s">
        <v>224</v>
      </c>
      <c r="D78" s="13" t="s">
        <v>225</v>
      </c>
      <c r="E78" s="36">
        <v>50</v>
      </c>
      <c r="F78" s="14" t="s">
        <v>226</v>
      </c>
      <c r="G78" s="37">
        <f t="shared" si="0"/>
        <v>50</v>
      </c>
      <c r="H78" s="5" t="str">
        <f t="shared" si="1"/>
        <v/>
      </c>
    </row>
    <row r="79" spans="1:8" ht="14.25">
      <c r="A79" s="6">
        <v>46080</v>
      </c>
      <c r="B79" s="7" t="s">
        <v>218</v>
      </c>
      <c r="C79" s="15" t="s">
        <v>219</v>
      </c>
      <c r="D79" s="13" t="s">
        <v>220</v>
      </c>
      <c r="E79" s="36">
        <v>150</v>
      </c>
      <c r="F79" s="11" t="s">
        <v>221</v>
      </c>
      <c r="G79" s="37">
        <f t="shared" si="0"/>
        <v>150</v>
      </c>
      <c r="H79" s="5" t="str">
        <f t="shared" si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4"/>
  <sheetViews>
    <sheetView topLeftCell="A12" workbookViewId="0"/>
  </sheetViews>
  <sheetFormatPr baseColWidth="10" defaultColWidth="12.5703125" defaultRowHeight="15.75" customHeight="1"/>
  <cols>
    <col min="1" max="1" width="30.42578125" customWidth="1"/>
    <col min="2" max="2" width="15.7109375" customWidth="1"/>
    <col min="3" max="3" width="15.28515625" customWidth="1"/>
  </cols>
  <sheetData>
    <row r="1" spans="1:3" ht="225" customHeight="1"/>
    <row r="3" spans="1:3" ht="22.5" customHeight="1">
      <c r="A3" s="42" t="s">
        <v>586</v>
      </c>
      <c r="B3" s="42" t="s">
        <v>587</v>
      </c>
      <c r="C3" s="42" t="s">
        <v>588</v>
      </c>
    </row>
    <row r="4" spans="1:3" ht="22.5" customHeight="1">
      <c r="A4" s="43" t="s">
        <v>44</v>
      </c>
      <c r="B4" s="44">
        <v>15</v>
      </c>
      <c r="C4" s="43" t="s">
        <v>589</v>
      </c>
    </row>
    <row r="5" spans="1:3" ht="22.5" customHeight="1">
      <c r="A5" s="43" t="s">
        <v>497</v>
      </c>
      <c r="B5" s="44">
        <v>500</v>
      </c>
      <c r="C5" s="43" t="s">
        <v>590</v>
      </c>
    </row>
    <row r="6" spans="1:3" ht="22.5" customHeight="1">
      <c r="A6" s="43" t="s">
        <v>206</v>
      </c>
      <c r="B6" s="44">
        <v>6</v>
      </c>
      <c r="C6" s="43" t="s">
        <v>591</v>
      </c>
    </row>
    <row r="7" spans="1:3" ht="22.5" customHeight="1">
      <c r="A7" s="43" t="s">
        <v>12</v>
      </c>
      <c r="B7" s="44">
        <v>2250</v>
      </c>
      <c r="C7" s="43" t="s">
        <v>590</v>
      </c>
    </row>
    <row r="8" spans="1:3" ht="22.5" customHeight="1">
      <c r="A8" s="43" t="s">
        <v>285</v>
      </c>
      <c r="B8" s="44">
        <v>6</v>
      </c>
      <c r="C8" s="43" t="s">
        <v>592</v>
      </c>
    </row>
    <row r="9" spans="1:3" ht="22.5" customHeight="1">
      <c r="A9" s="43" t="s">
        <v>23</v>
      </c>
      <c r="B9" s="44">
        <v>12</v>
      </c>
      <c r="C9" s="43" t="s">
        <v>593</v>
      </c>
    </row>
    <row r="10" spans="1:3" ht="22.5" customHeight="1">
      <c r="A10" s="43" t="s">
        <v>86</v>
      </c>
      <c r="B10" s="44">
        <v>9</v>
      </c>
      <c r="C10" s="43" t="s">
        <v>593</v>
      </c>
    </row>
    <row r="11" spans="1:3" ht="22.5" customHeight="1">
      <c r="A11" s="43" t="s">
        <v>315</v>
      </c>
      <c r="B11" s="44">
        <v>5.38</v>
      </c>
      <c r="C11" s="43" t="s">
        <v>594</v>
      </c>
    </row>
    <row r="12" spans="1:3" ht="22.5" customHeight="1">
      <c r="A12" s="43" t="s">
        <v>339</v>
      </c>
      <c r="B12" s="44">
        <v>3</v>
      </c>
      <c r="C12" s="43" t="s">
        <v>595</v>
      </c>
    </row>
    <row r="13" spans="1:3" ht="22.5" customHeight="1">
      <c r="A13" s="43" t="s">
        <v>230</v>
      </c>
      <c r="B13" s="44">
        <v>9</v>
      </c>
      <c r="C13" s="43" t="s">
        <v>596</v>
      </c>
    </row>
    <row r="14" spans="1:3" ht="22.5" customHeight="1">
      <c r="A14" s="43" t="s">
        <v>61</v>
      </c>
      <c r="B14" s="44">
        <v>38.99</v>
      </c>
      <c r="C14" s="43" t="s">
        <v>597</v>
      </c>
    </row>
    <row r="15" spans="1:3" ht="22.5" customHeight="1">
      <c r="A15" s="43" t="s">
        <v>192</v>
      </c>
      <c r="B15" s="44">
        <v>13</v>
      </c>
      <c r="C15" s="43" t="s">
        <v>598</v>
      </c>
    </row>
    <row r="16" spans="1:3" ht="22.5" customHeight="1">
      <c r="A16" s="43" t="s">
        <v>70</v>
      </c>
      <c r="B16" s="44">
        <v>33</v>
      </c>
      <c r="C16" s="43" t="s">
        <v>599</v>
      </c>
    </row>
    <row r="17" spans="1:8" ht="22.5" customHeight="1">
      <c r="A17" s="43" t="s">
        <v>600</v>
      </c>
      <c r="B17" s="44">
        <v>3472</v>
      </c>
      <c r="C17" s="43" t="s">
        <v>601</v>
      </c>
    </row>
    <row r="19" spans="1:8" ht="12.75">
      <c r="B19" s="45">
        <f>SUM(B4:B17)</f>
        <v>6372.37</v>
      </c>
      <c r="C19" s="45">
        <f>B19-350</f>
        <v>6022.37</v>
      </c>
      <c r="D19" s="46" t="s">
        <v>602</v>
      </c>
    </row>
    <row r="21" spans="1:8" ht="12.75">
      <c r="C21" s="45">
        <f>C19-B17</f>
        <v>2550.37</v>
      </c>
      <c r="D21" s="46" t="s">
        <v>603</v>
      </c>
      <c r="F21" s="46" t="s">
        <v>601</v>
      </c>
      <c r="G21" s="46">
        <v>3472</v>
      </c>
    </row>
    <row r="22" spans="1:8" ht="12.75">
      <c r="C22" s="45">
        <f>C21-B7-B5</f>
        <v>-199.63000000000011</v>
      </c>
      <c r="D22" s="46" t="s">
        <v>604</v>
      </c>
      <c r="F22" s="46" t="s">
        <v>590</v>
      </c>
      <c r="G22" s="46">
        <v>2750</v>
      </c>
    </row>
    <row r="23" spans="1:8" ht="12.75">
      <c r="G23" s="46">
        <f>SUM(G21:G22)</f>
        <v>6222</v>
      </c>
    </row>
    <row r="24" spans="1:8" ht="12.75">
      <c r="F24" s="46" t="s">
        <v>605</v>
      </c>
      <c r="G24" s="45">
        <f>B16+B15+B14+B13+B12+B11+B10+B9+B8+B6+B4</f>
        <v>150.37</v>
      </c>
      <c r="H24" s="45">
        <f>G23+G24</f>
        <v>6372.37</v>
      </c>
    </row>
  </sheetData>
  <dataValidations count="1">
    <dataValidation type="custom" allowBlank="1" showDropDown="1" sqref="B4:B17" xr:uid="{00000000-0002-0000-03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2"/>
  <sheetViews>
    <sheetView workbookViewId="0"/>
  </sheetViews>
  <sheetFormatPr baseColWidth="10" defaultColWidth="12.5703125" defaultRowHeight="15.75" customHeight="1"/>
  <cols>
    <col min="1" max="1" width="32.5703125" customWidth="1"/>
    <col min="2" max="2" width="12.5703125" customWidth="1"/>
  </cols>
  <sheetData>
    <row r="1" spans="1:2" ht="225" customHeight="1"/>
    <row r="3" spans="1:2" ht="22.5" customHeight="1">
      <c r="A3" s="42" t="s">
        <v>1</v>
      </c>
      <c r="B3" s="42" t="s">
        <v>588</v>
      </c>
    </row>
    <row r="4" spans="1:2" ht="22.5" customHeight="1">
      <c r="A4" s="43" t="s">
        <v>12</v>
      </c>
      <c r="B4" s="43">
        <v>2250</v>
      </c>
    </row>
    <row r="5" spans="1:2" ht="22.5" customHeight="1">
      <c r="A5" s="43" t="s">
        <v>61</v>
      </c>
      <c r="B5" s="43">
        <v>1942</v>
      </c>
    </row>
    <row r="6" spans="1:2" ht="22.5" customHeight="1">
      <c r="A6" s="43" t="s">
        <v>315</v>
      </c>
      <c r="B6" s="43">
        <v>538</v>
      </c>
    </row>
    <row r="7" spans="1:2" ht="22.5" customHeight="1">
      <c r="A7" s="43" t="s">
        <v>497</v>
      </c>
      <c r="B7" s="43">
        <v>500</v>
      </c>
    </row>
    <row r="8" spans="1:2" ht="22.5" customHeight="1">
      <c r="A8" s="43" t="s">
        <v>493</v>
      </c>
      <c r="B8" s="43">
        <v>400</v>
      </c>
    </row>
    <row r="9" spans="1:2" ht="22.5" customHeight="1">
      <c r="A9" s="43" t="s">
        <v>554</v>
      </c>
      <c r="B9" s="43">
        <v>400</v>
      </c>
    </row>
    <row r="10" spans="1:2" ht="22.5" customHeight="1">
      <c r="A10" s="43" t="s">
        <v>276</v>
      </c>
      <c r="B10" s="43">
        <v>200</v>
      </c>
    </row>
    <row r="11" spans="1:2" ht="22.5" customHeight="1">
      <c r="A11" s="43" t="s">
        <v>305</v>
      </c>
      <c r="B11" s="43">
        <v>200</v>
      </c>
    </row>
    <row r="12" spans="1:2" ht="22.5" customHeight="1">
      <c r="A12" s="43" t="s">
        <v>322</v>
      </c>
      <c r="B12" s="43">
        <v>200</v>
      </c>
    </row>
    <row r="13" spans="1:2" ht="22.5" customHeight="1">
      <c r="A13" s="43" t="s">
        <v>330</v>
      </c>
      <c r="B13" s="43">
        <v>200</v>
      </c>
    </row>
    <row r="14" spans="1:2" ht="22.5" customHeight="1">
      <c r="A14" s="43" t="s">
        <v>364</v>
      </c>
      <c r="B14" s="43">
        <v>200</v>
      </c>
    </row>
    <row r="15" spans="1:2" ht="22.5" customHeight="1">
      <c r="A15" s="43" t="s">
        <v>432</v>
      </c>
      <c r="B15" s="43">
        <v>200</v>
      </c>
    </row>
    <row r="16" spans="1:2" ht="22.5" customHeight="1">
      <c r="A16" s="43" t="s">
        <v>464</v>
      </c>
      <c r="B16" s="43">
        <v>200</v>
      </c>
    </row>
    <row r="17" spans="1:2" ht="22.5" customHeight="1">
      <c r="A17" s="43" t="s">
        <v>453</v>
      </c>
      <c r="B17" s="43">
        <v>180</v>
      </c>
    </row>
    <row r="18" spans="1:2" ht="22.5" customHeight="1">
      <c r="A18" s="43" t="s">
        <v>566</v>
      </c>
      <c r="B18" s="43">
        <v>170</v>
      </c>
    </row>
    <row r="19" spans="1:2" ht="22.5" customHeight="1">
      <c r="A19" s="43" t="s">
        <v>218</v>
      </c>
      <c r="B19" s="43">
        <v>150</v>
      </c>
    </row>
    <row r="20" spans="1:2" ht="22.5" customHeight="1">
      <c r="A20" s="43" t="s">
        <v>289</v>
      </c>
      <c r="B20" s="43">
        <v>100</v>
      </c>
    </row>
    <row r="21" spans="1:2" ht="22.5" customHeight="1">
      <c r="A21" s="43" t="s">
        <v>303</v>
      </c>
      <c r="B21" s="43">
        <v>100</v>
      </c>
    </row>
    <row r="22" spans="1:2" ht="22.5" customHeight="1">
      <c r="A22" s="43" t="s">
        <v>410</v>
      </c>
      <c r="B22" s="43">
        <v>100</v>
      </c>
    </row>
    <row r="23" spans="1:2" ht="22.5" customHeight="1">
      <c r="A23" s="43" t="s">
        <v>394</v>
      </c>
      <c r="B23" s="43">
        <v>100</v>
      </c>
    </row>
    <row r="24" spans="1:2" ht="22.5" customHeight="1">
      <c r="A24" s="43" t="s">
        <v>520</v>
      </c>
      <c r="B24" s="43">
        <v>70</v>
      </c>
    </row>
    <row r="25" spans="1:2" ht="22.5" customHeight="1">
      <c r="A25" s="43" t="s">
        <v>572</v>
      </c>
      <c r="B25" s="43">
        <v>52</v>
      </c>
    </row>
    <row r="26" spans="1:2" ht="22.5" customHeight="1">
      <c r="A26" s="43" t="s">
        <v>551</v>
      </c>
      <c r="B26" s="43">
        <v>50</v>
      </c>
    </row>
    <row r="27" spans="1:2" ht="22.5" customHeight="1">
      <c r="A27" s="43" t="s">
        <v>386</v>
      </c>
      <c r="B27" s="43">
        <v>50</v>
      </c>
    </row>
    <row r="28" spans="1:2" ht="22.5" customHeight="1">
      <c r="A28" s="43" t="s">
        <v>223</v>
      </c>
      <c r="B28" s="43">
        <v>50</v>
      </c>
    </row>
    <row r="29" spans="1:2" ht="22.5" customHeight="1">
      <c r="A29" s="43" t="s">
        <v>380</v>
      </c>
      <c r="B29" s="43">
        <v>50</v>
      </c>
    </row>
    <row r="30" spans="1:2" ht="22.5" customHeight="1">
      <c r="A30" s="43" t="s">
        <v>402</v>
      </c>
      <c r="B30" s="43">
        <v>50</v>
      </c>
    </row>
    <row r="31" spans="1:2" ht="22.5" customHeight="1">
      <c r="A31" s="43" t="s">
        <v>70</v>
      </c>
      <c r="B31" s="43">
        <v>33</v>
      </c>
    </row>
    <row r="32" spans="1:2" ht="22.5" customHeight="1">
      <c r="A32" s="43" t="s">
        <v>44</v>
      </c>
      <c r="B32" s="43">
        <v>15</v>
      </c>
    </row>
    <row r="33" spans="1:2" ht="22.5" customHeight="1">
      <c r="A33" s="43" t="s">
        <v>192</v>
      </c>
      <c r="B33" s="43">
        <v>13</v>
      </c>
    </row>
    <row r="34" spans="1:2" ht="22.5" customHeight="1">
      <c r="A34" s="43" t="s">
        <v>23</v>
      </c>
      <c r="B34" s="43">
        <v>12</v>
      </c>
    </row>
    <row r="35" spans="1:2" ht="22.5" customHeight="1">
      <c r="A35" s="43" t="s">
        <v>86</v>
      </c>
      <c r="B35" s="43">
        <v>9</v>
      </c>
    </row>
    <row r="36" spans="1:2" ht="22.5" customHeight="1">
      <c r="A36" s="43" t="s">
        <v>230</v>
      </c>
      <c r="B36" s="43">
        <v>9</v>
      </c>
    </row>
    <row r="37" spans="1:2" ht="22.5" customHeight="1">
      <c r="A37" s="43" t="s">
        <v>285</v>
      </c>
      <c r="B37" s="43">
        <v>6</v>
      </c>
    </row>
    <row r="38" spans="1:2" ht="22.5" customHeight="1">
      <c r="A38" s="43" t="s">
        <v>206</v>
      </c>
      <c r="B38" s="43">
        <v>6</v>
      </c>
    </row>
    <row r="39" spans="1:2" ht="22.5" customHeight="1">
      <c r="A39" s="43" t="s">
        <v>339</v>
      </c>
      <c r="B39" s="43">
        <v>3</v>
      </c>
    </row>
    <row r="42" spans="1:2" ht="12.75">
      <c r="B42" s="46">
        <f>SUM(Distribución_del_Monto_en_por_Descripción[Columna 1])</f>
        <v>8808</v>
      </c>
    </row>
  </sheetData>
  <dataValidations count="1">
    <dataValidation type="custom" allowBlank="1" showDropDown="1" sqref="B4:B39" xr:uid="{00000000-0002-0000-04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 1</vt:lpstr>
      <vt:lpstr>Hoja 2</vt:lpstr>
      <vt:lpstr>Copia de Hoja 1</vt:lpstr>
      <vt:lpstr>Gráfico1 Distribución del Monto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Luis Peña</cp:lastModifiedBy>
  <dcterms:modified xsi:type="dcterms:W3CDTF">2026-05-25T20:58:10Z</dcterms:modified>
</cp:coreProperties>
</file>